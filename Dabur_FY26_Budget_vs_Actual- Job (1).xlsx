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9E4B5F06F3938B/Documents/"/>
    </mc:Choice>
  </mc:AlternateContent>
  <xr:revisionPtr revIDLastSave="2" documentId="8_{E57BEF53-80D9-48B6-91F7-5B7CF27097DA}" xr6:coauthVersionLast="47" xr6:coauthVersionMax="47" xr10:uidLastSave="{9151CE91-D467-4150-87BB-2FA21E43B486}"/>
  <bookViews>
    <workbookView xWindow="-110" yWindow="-110" windowWidth="19420" windowHeight="11500" tabRatio="500" firstSheet="1" activeTab="5" xr2:uid="{00000000-000D-0000-FFFF-FFFF00000000}"/>
  </bookViews>
  <sheets>
    <sheet name="Summary" sheetId="1" r:id="rId1"/>
    <sheet name="Budget" sheetId="4" r:id="rId2"/>
    <sheet name="Actuals" sheetId="5" r:id="rId3"/>
    <sheet name="Budget vs Actuals" sheetId="3" r:id="rId4"/>
    <sheet name="Variance Drivers" sheetId="2" r:id="rId5"/>
    <sheet name="Data" sheetId="6" r:id="rId6"/>
  </sheets>
  <definedNames>
    <definedName name="_xlchart.v1.0" hidden="1">'Variance Drivers'!$B$29:$B$40</definedName>
    <definedName name="_xlchart.v1.1" hidden="1">'Variance Drivers'!$C$28</definedName>
    <definedName name="_xlchart.v1.2" hidden="1">'Variance Drivers'!$C$29:$C$40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C23" i="2"/>
  <c r="C21" i="2"/>
  <c r="C20" i="2"/>
  <c r="C33" i="4"/>
  <c r="F14" i="4" a="1"/>
  <c r="E14" i="4" a="1"/>
  <c r="D14" i="4" a="1"/>
  <c r="C14" i="4" a="1"/>
  <c r="F13" i="4" a="1"/>
  <c r="F26" i="4" s="1"/>
  <c r="C15" i="3" s="1"/>
  <c r="E13" i="4" a="1"/>
  <c r="E26" i="4" s="1"/>
  <c r="D13" i="4" a="1"/>
  <c r="D26" i="4" s="1"/>
  <c r="C13" i="4" a="1"/>
  <c r="C26" i="4" s="1"/>
  <c r="F12" i="4" a="1"/>
  <c r="E12" i="4" a="1"/>
  <c r="D12" i="4" a="1"/>
  <c r="C12" i="4" a="1"/>
  <c r="F11" i="4" a="1"/>
  <c r="F24" i="4" s="1"/>
  <c r="C13" i="3" s="1"/>
  <c r="E11" i="4" a="1"/>
  <c r="E24" i="4" s="1"/>
  <c r="D11" i="4" a="1"/>
  <c r="D24" i="4" s="1"/>
  <c r="C11" i="4" a="1"/>
  <c r="C24" i="4" s="1"/>
  <c r="F10" i="4" a="1"/>
  <c r="F23" i="4" s="1"/>
  <c r="C12" i="3" s="1"/>
  <c r="E10" i="4" a="1"/>
  <c r="D10" i="4" a="1"/>
  <c r="C10" i="4" a="1"/>
  <c r="F9" i="4" a="1"/>
  <c r="E9" i="4" a="1"/>
  <c r="D9" i="4" a="1"/>
  <c r="C9" i="4" a="1"/>
  <c r="F8" i="4" a="1"/>
  <c r="E8" i="4" a="1"/>
  <c r="D8" i="4" a="1"/>
  <c r="C8" i="4" a="1"/>
  <c r="F7" i="4" a="1"/>
  <c r="E7" i="4" a="1"/>
  <c r="D7" i="4" a="1"/>
  <c r="C7" i="4" a="1"/>
  <c r="F6" i="4" a="1"/>
  <c r="E6" i="4" a="1"/>
  <c r="D6" i="4" a="1"/>
  <c r="C6" i="4" a="1"/>
  <c r="C45" i="4"/>
  <c r="G27" i="6"/>
  <c r="D19" i="4"/>
  <c r="E19" i="4"/>
  <c r="F19" i="4"/>
  <c r="C8" i="3" s="1"/>
  <c r="D22" i="4"/>
  <c r="E22" i="4"/>
  <c r="F22" i="4"/>
  <c r="C11" i="3" s="1"/>
  <c r="C23" i="4"/>
  <c r="D23" i="4"/>
  <c r="E23" i="4"/>
  <c r="F14" i="2"/>
  <c r="F15" i="2"/>
  <c r="F17" i="2"/>
  <c r="E14" i="2"/>
  <c r="E15" i="2"/>
  <c r="E17" i="2"/>
  <c r="D14" i="2"/>
  <c r="D15" i="2"/>
  <c r="D17" i="2"/>
  <c r="C14" i="2"/>
  <c r="G14" i="2" s="1"/>
  <c r="C15" i="2"/>
  <c r="G15" i="2" s="1"/>
  <c r="C17" i="2"/>
  <c r="C6" i="5"/>
  <c r="D6" i="5"/>
  <c r="D21" i="2" s="1"/>
  <c r="E6" i="5"/>
  <c r="E21" i="2" s="1"/>
  <c r="E18" i="2" s="1"/>
  <c r="F6" i="5"/>
  <c r="C7" i="5"/>
  <c r="D7" i="5"/>
  <c r="E7" i="5"/>
  <c r="F7" i="5"/>
  <c r="C8" i="5"/>
  <c r="D8" i="5"/>
  <c r="E8" i="5"/>
  <c r="F8" i="5"/>
  <c r="G8" i="5" s="1"/>
  <c r="C9" i="5"/>
  <c r="D9" i="5"/>
  <c r="E9" i="5"/>
  <c r="F9" i="5"/>
  <c r="D11" i="3" s="1"/>
  <c r="C10" i="5"/>
  <c r="D10" i="5"/>
  <c r="E10" i="5"/>
  <c r="F10" i="5"/>
  <c r="C11" i="5"/>
  <c r="D11" i="5"/>
  <c r="E11" i="5"/>
  <c r="F11" i="5"/>
  <c r="D13" i="3" s="1"/>
  <c r="C12" i="5"/>
  <c r="D12" i="5"/>
  <c r="E12" i="5"/>
  <c r="F12" i="5"/>
  <c r="C13" i="5"/>
  <c r="D13" i="5"/>
  <c r="E13" i="5"/>
  <c r="F13" i="5"/>
  <c r="D15" i="3" s="1"/>
  <c r="C14" i="5"/>
  <c r="D14" i="5"/>
  <c r="E14" i="5"/>
  <c r="F14" i="5"/>
  <c r="N20" i="6"/>
  <c r="M20" i="6"/>
  <c r="L20" i="6"/>
  <c r="K20" i="6"/>
  <c r="J20" i="6"/>
  <c r="I20" i="6"/>
  <c r="H20" i="6"/>
  <c r="G20" i="6"/>
  <c r="E33" i="6"/>
  <c r="D33" i="6"/>
  <c r="C33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I24" i="5"/>
  <c r="I23" i="5"/>
  <c r="F23" i="5"/>
  <c r="D23" i="3" s="1"/>
  <c r="E23" i="5"/>
  <c r="D23" i="5"/>
  <c r="C23" i="5"/>
  <c r="I22" i="5"/>
  <c r="F22" i="5"/>
  <c r="D22" i="3" s="1"/>
  <c r="E22" i="5"/>
  <c r="D22" i="5"/>
  <c r="C22" i="5"/>
  <c r="I21" i="5"/>
  <c r="F21" i="5"/>
  <c r="D21" i="3" s="1"/>
  <c r="E21" i="5"/>
  <c r="D21" i="5"/>
  <c r="C21" i="5"/>
  <c r="I20" i="5"/>
  <c r="F20" i="5"/>
  <c r="E20" i="5"/>
  <c r="D20" i="5"/>
  <c r="C20" i="5"/>
  <c r="M19" i="5"/>
  <c r="L19" i="5"/>
  <c r="K19" i="5"/>
  <c r="J19" i="5"/>
  <c r="F19" i="5"/>
  <c r="E19" i="5"/>
  <c r="D19" i="5"/>
  <c r="C19" i="5"/>
  <c r="I14" i="5"/>
  <c r="I13" i="5"/>
  <c r="I12" i="5"/>
  <c r="I11" i="5"/>
  <c r="I10" i="5"/>
  <c r="I9" i="5"/>
  <c r="I8" i="5"/>
  <c r="I7" i="5"/>
  <c r="I6" i="5"/>
  <c r="I37" i="4"/>
  <c r="I36" i="4"/>
  <c r="I35" i="4"/>
  <c r="I34" i="4"/>
  <c r="I33" i="4"/>
  <c r="I27" i="4"/>
  <c r="I26" i="4"/>
  <c r="I25" i="4"/>
  <c r="I24" i="4"/>
  <c r="I23" i="4"/>
  <c r="I22" i="4"/>
  <c r="I21" i="4"/>
  <c r="I20" i="4"/>
  <c r="I19" i="4"/>
  <c r="I23" i="3"/>
  <c r="I22" i="3"/>
  <c r="I21" i="3"/>
  <c r="I20" i="3"/>
  <c r="I16" i="3"/>
  <c r="I15" i="3"/>
  <c r="I14" i="3"/>
  <c r="I13" i="3"/>
  <c r="I12" i="3"/>
  <c r="I11" i="3"/>
  <c r="I10" i="3"/>
  <c r="I9" i="3"/>
  <c r="I8" i="3"/>
  <c r="F16" i="1"/>
  <c r="E16" i="1"/>
  <c r="D16" i="1"/>
  <c r="C16" i="1"/>
  <c r="G6" i="4" l="1"/>
  <c r="C19" i="4"/>
  <c r="G7" i="4"/>
  <c r="G8" i="4" s="1"/>
  <c r="G10" i="4"/>
  <c r="G11" i="4"/>
  <c r="G14" i="4"/>
  <c r="C22" i="4"/>
  <c r="G9" i="4"/>
  <c r="D17" i="1"/>
  <c r="D19" i="2"/>
  <c r="D8" i="3"/>
  <c r="E8" i="3" s="1"/>
  <c r="F21" i="2"/>
  <c r="F16" i="2"/>
  <c r="F20" i="2" s="1"/>
  <c r="E16" i="2"/>
  <c r="E20" i="2" s="1"/>
  <c r="D16" i="2"/>
  <c r="D20" i="2" s="1"/>
  <c r="C16" i="2"/>
  <c r="F17" i="1"/>
  <c r="F19" i="2"/>
  <c r="E17" i="1"/>
  <c r="E19" i="2"/>
  <c r="D18" i="2"/>
  <c r="D23" i="2"/>
  <c r="C18" i="2"/>
  <c r="D24" i="5"/>
  <c r="G14" i="5"/>
  <c r="G7" i="5"/>
  <c r="D35" i="3"/>
  <c r="E35" i="3" s="1"/>
  <c r="D34" i="6"/>
  <c r="G6" i="5"/>
  <c r="D6" i="1" s="1"/>
  <c r="G9" i="5"/>
  <c r="G11" i="5"/>
  <c r="D11" i="1" s="1"/>
  <c r="G12" i="5"/>
  <c r="E34" i="6"/>
  <c r="D12" i="3"/>
  <c r="E12" i="3" s="1"/>
  <c r="G10" i="5"/>
  <c r="D10" i="1" s="1"/>
  <c r="E15" i="3"/>
  <c r="G15" i="3" s="1"/>
  <c r="E13" i="3"/>
  <c r="D36" i="3"/>
  <c r="E36" i="3" s="1"/>
  <c r="F18" i="1"/>
  <c r="F19" i="1" s="1"/>
  <c r="F20" i="1" s="1"/>
  <c r="D33" i="3"/>
  <c r="E33" i="3" s="1"/>
  <c r="E18" i="1"/>
  <c r="D30" i="3"/>
  <c r="E30" i="3" s="1"/>
  <c r="D18" i="1"/>
  <c r="C18" i="1"/>
  <c r="F24" i="5"/>
  <c r="D20" i="3"/>
  <c r="E24" i="5"/>
  <c r="E11" i="3"/>
  <c r="M23" i="5"/>
  <c r="K23" i="3" s="1"/>
  <c r="G23" i="5"/>
  <c r="D9" i="2" s="1"/>
  <c r="J23" i="5"/>
  <c r="K23" i="5"/>
  <c r="L23" i="5"/>
  <c r="J22" i="5"/>
  <c r="K22" i="5"/>
  <c r="L22" i="5"/>
  <c r="M22" i="5"/>
  <c r="K22" i="3" s="1"/>
  <c r="G22" i="5"/>
  <c r="K21" i="5"/>
  <c r="M21" i="5"/>
  <c r="K21" i="3" s="1"/>
  <c r="G21" i="5"/>
  <c r="J21" i="5"/>
  <c r="L21" i="5"/>
  <c r="M20" i="5"/>
  <c r="K20" i="3" s="1"/>
  <c r="L20" i="5"/>
  <c r="K20" i="5"/>
  <c r="G20" i="5"/>
  <c r="C24" i="5"/>
  <c r="J20" i="5"/>
  <c r="L11" i="5"/>
  <c r="M11" i="5"/>
  <c r="K13" i="3" s="1"/>
  <c r="K11" i="5"/>
  <c r="J11" i="5"/>
  <c r="J10" i="5"/>
  <c r="M10" i="5"/>
  <c r="K12" i="3" s="1"/>
  <c r="K10" i="5"/>
  <c r="L10" i="5"/>
  <c r="K9" i="5"/>
  <c r="J9" i="5"/>
  <c r="L9" i="5"/>
  <c r="M9" i="5"/>
  <c r="K11" i="3" s="1"/>
  <c r="J6" i="5"/>
  <c r="L6" i="5"/>
  <c r="K6" i="5"/>
  <c r="M6" i="5"/>
  <c r="K8" i="3" s="1"/>
  <c r="J24" i="4"/>
  <c r="K24" i="4"/>
  <c r="M24" i="4"/>
  <c r="J13" i="3" s="1"/>
  <c r="L24" i="4"/>
  <c r="G24" i="4"/>
  <c r="K23" i="4"/>
  <c r="L23" i="4"/>
  <c r="M23" i="4"/>
  <c r="J12" i="3" s="1"/>
  <c r="G23" i="4"/>
  <c r="J23" i="4"/>
  <c r="F33" i="4"/>
  <c r="F35" i="4"/>
  <c r="C22" i="3" s="1"/>
  <c r="F34" i="4"/>
  <c r="C21" i="3" s="1"/>
  <c r="F36" i="4"/>
  <c r="C23" i="3" s="1"/>
  <c r="E35" i="4"/>
  <c r="E36" i="4"/>
  <c r="E34" i="4"/>
  <c r="E33" i="4"/>
  <c r="D34" i="4"/>
  <c r="D35" i="4"/>
  <c r="D36" i="4"/>
  <c r="D33" i="4"/>
  <c r="D27" i="3" l="1"/>
  <c r="E27" i="3" s="1"/>
  <c r="M19" i="4"/>
  <c r="J8" i="3" s="1"/>
  <c r="L8" i="3" s="1"/>
  <c r="C35" i="4"/>
  <c r="C36" i="4"/>
  <c r="J19" i="4"/>
  <c r="G19" i="4"/>
  <c r="C6" i="1" s="1"/>
  <c r="E6" i="1" s="1"/>
  <c r="F6" i="1" s="1"/>
  <c r="C34" i="4"/>
  <c r="K19" i="4"/>
  <c r="L19" i="4"/>
  <c r="C17" i="1"/>
  <c r="C19" i="1" s="1"/>
  <c r="C20" i="1" s="1"/>
  <c r="C19" i="2"/>
  <c r="G19" i="2" s="1"/>
  <c r="G12" i="4"/>
  <c r="G13" i="4" s="1"/>
  <c r="D22" i="2"/>
  <c r="D24" i="2" s="1"/>
  <c r="D25" i="2" s="1"/>
  <c r="D19" i="1"/>
  <c r="D20" i="1" s="1"/>
  <c r="K22" i="4"/>
  <c r="G22" i="4"/>
  <c r="J22" i="4"/>
  <c r="M22" i="4"/>
  <c r="J11" i="3" s="1"/>
  <c r="L11" i="3" s="1"/>
  <c r="L22" i="4"/>
  <c r="G13" i="5"/>
  <c r="E19" i="1"/>
  <c r="E20" i="1" s="1"/>
  <c r="F22" i="2"/>
  <c r="D8" i="2"/>
  <c r="D7" i="2"/>
  <c r="D6" i="2"/>
  <c r="F18" i="2"/>
  <c r="F23" i="2"/>
  <c r="G21" i="2"/>
  <c r="E23" i="2"/>
  <c r="E22" i="2"/>
  <c r="E24" i="2" s="1"/>
  <c r="E25" i="2" s="1"/>
  <c r="G16" i="2"/>
  <c r="L13" i="3"/>
  <c r="D9" i="3"/>
  <c r="L7" i="5"/>
  <c r="J7" i="5"/>
  <c r="M7" i="5"/>
  <c r="K9" i="3" s="1"/>
  <c r="K7" i="5"/>
  <c r="D12" i="1"/>
  <c r="L12" i="3"/>
  <c r="C37" i="2"/>
  <c r="F12" i="3"/>
  <c r="G12" i="3"/>
  <c r="F13" i="3"/>
  <c r="G13" i="3"/>
  <c r="F11" i="3"/>
  <c r="G11" i="3"/>
  <c r="F8" i="3"/>
  <c r="G8" i="3"/>
  <c r="D37" i="4"/>
  <c r="D20" i="4" s="1"/>
  <c r="E37" i="4"/>
  <c r="E20" i="4" s="1"/>
  <c r="E21" i="4" s="1"/>
  <c r="G24" i="5"/>
  <c r="D9" i="1"/>
  <c r="D8" i="1"/>
  <c r="D7" i="1"/>
  <c r="C38" i="2"/>
  <c r="C11" i="1"/>
  <c r="E11" i="1" s="1"/>
  <c r="F11" i="1" s="1"/>
  <c r="G11" i="1" s="1"/>
  <c r="C10" i="1"/>
  <c r="E10" i="1" s="1"/>
  <c r="F10" i="1" s="1"/>
  <c r="G10" i="1" s="1"/>
  <c r="F37" i="4"/>
  <c r="F20" i="4" s="1"/>
  <c r="C20" i="3"/>
  <c r="E22" i="3"/>
  <c r="G22" i="3" s="1"/>
  <c r="F22" i="3"/>
  <c r="E21" i="3"/>
  <c r="E23" i="3"/>
  <c r="M24" i="5"/>
  <c r="L24" i="5"/>
  <c r="K24" i="5"/>
  <c r="J24" i="5"/>
  <c r="F24" i="2" l="1"/>
  <c r="F25" i="2" s="1"/>
  <c r="G35" i="4"/>
  <c r="K35" i="4"/>
  <c r="L35" i="4"/>
  <c r="J35" i="4"/>
  <c r="M35" i="4"/>
  <c r="J22" i="3" s="1"/>
  <c r="L22" i="3" s="1"/>
  <c r="L36" i="4"/>
  <c r="G36" i="4"/>
  <c r="C9" i="2" s="1"/>
  <c r="E9" i="2" s="1"/>
  <c r="F9" i="2" s="1"/>
  <c r="J36" i="4"/>
  <c r="M36" i="4"/>
  <c r="J23" i="3" s="1"/>
  <c r="L23" i="3" s="1"/>
  <c r="K36" i="4"/>
  <c r="G34" i="4"/>
  <c r="G37" i="4" s="1"/>
  <c r="J34" i="4"/>
  <c r="M34" i="4"/>
  <c r="L34" i="4"/>
  <c r="K34" i="4"/>
  <c r="J33" i="4"/>
  <c r="M33" i="4"/>
  <c r="G33" i="4"/>
  <c r="K33" i="4"/>
  <c r="K37" i="4" s="1"/>
  <c r="L33" i="4"/>
  <c r="C37" i="4"/>
  <c r="C20" i="4" s="1"/>
  <c r="C9" i="1"/>
  <c r="E9" i="1" s="1"/>
  <c r="F9" i="1" s="1"/>
  <c r="G9" i="1" s="1"/>
  <c r="C36" i="2"/>
  <c r="C33" i="2"/>
  <c r="C7" i="2"/>
  <c r="E7" i="2" s="1"/>
  <c r="F7" i="2" s="1"/>
  <c r="D10" i="2"/>
  <c r="E25" i="4"/>
  <c r="E27" i="4" s="1"/>
  <c r="D34" i="3"/>
  <c r="E34" i="3" s="1"/>
  <c r="G23" i="2"/>
  <c r="C31" i="2" s="1"/>
  <c r="C22" i="2"/>
  <c r="G20" i="2"/>
  <c r="M13" i="3"/>
  <c r="N13" i="3"/>
  <c r="D10" i="3"/>
  <c r="M8" i="5"/>
  <c r="K10" i="3" s="1"/>
  <c r="K8" i="5"/>
  <c r="J8" i="5"/>
  <c r="L8" i="5"/>
  <c r="G21" i="3"/>
  <c r="F21" i="3"/>
  <c r="M12" i="3"/>
  <c r="N12" i="3"/>
  <c r="D21" i="4"/>
  <c r="D25" i="4" s="1"/>
  <c r="D27" i="4" s="1"/>
  <c r="D32" i="3" s="1"/>
  <c r="E32" i="3" s="1"/>
  <c r="D31" i="3"/>
  <c r="E31" i="3" s="1"/>
  <c r="G23" i="3"/>
  <c r="F23" i="3"/>
  <c r="M11" i="3"/>
  <c r="N11" i="3"/>
  <c r="M8" i="3"/>
  <c r="N8" i="3"/>
  <c r="D14" i="1"/>
  <c r="F21" i="4"/>
  <c r="D37" i="3"/>
  <c r="E37" i="3" s="1"/>
  <c r="C9" i="3"/>
  <c r="E9" i="3" s="1"/>
  <c r="E20" i="3"/>
  <c r="J20" i="3"/>
  <c r="J20" i="4"/>
  <c r="G20" i="4"/>
  <c r="L20" i="4"/>
  <c r="D28" i="3"/>
  <c r="E28" i="3" s="1"/>
  <c r="G6" i="1"/>
  <c r="L37" i="4" l="1"/>
  <c r="J37" i="4"/>
  <c r="C32" i="2"/>
  <c r="C6" i="2"/>
  <c r="C21" i="4"/>
  <c r="K20" i="4"/>
  <c r="M20" i="4"/>
  <c r="J9" i="3" s="1"/>
  <c r="L9" i="3" s="1"/>
  <c r="C34" i="2"/>
  <c r="C8" i="2"/>
  <c r="E8" i="2" s="1"/>
  <c r="F8" i="2" s="1"/>
  <c r="J21" i="3"/>
  <c r="M37" i="4"/>
  <c r="C10" i="2"/>
  <c r="E10" i="2" s="1"/>
  <c r="F10" i="2" s="1"/>
  <c r="E6" i="2"/>
  <c r="F6" i="2" s="1"/>
  <c r="G22" i="2"/>
  <c r="C30" i="2" s="1"/>
  <c r="G20" i="3"/>
  <c r="F20" i="3"/>
  <c r="D16" i="3"/>
  <c r="D14" i="3"/>
  <c r="K12" i="5"/>
  <c r="L12" i="5"/>
  <c r="J12" i="5"/>
  <c r="M12" i="5"/>
  <c r="K14" i="3" s="1"/>
  <c r="N22" i="3"/>
  <c r="M22" i="3"/>
  <c r="N23" i="3"/>
  <c r="M23" i="3"/>
  <c r="F25" i="4"/>
  <c r="C10" i="3"/>
  <c r="E10" i="3" s="1"/>
  <c r="G9" i="3"/>
  <c r="F9" i="3"/>
  <c r="L20" i="3"/>
  <c r="N20" i="3" s="1"/>
  <c r="C25" i="4"/>
  <c r="C27" i="4" s="1"/>
  <c r="L21" i="4"/>
  <c r="K21" i="4"/>
  <c r="D29" i="3"/>
  <c r="E29" i="3" s="1"/>
  <c r="M21" i="4"/>
  <c r="J10" i="3" s="1"/>
  <c r="L10" i="3" s="1"/>
  <c r="J21" i="4"/>
  <c r="G21" i="4"/>
  <c r="C7" i="1"/>
  <c r="N9" i="3"/>
  <c r="M9" i="3"/>
  <c r="L21" i="3" l="1"/>
  <c r="G24" i="2"/>
  <c r="G25" i="2" s="1"/>
  <c r="C25" i="2"/>
  <c r="L14" i="5"/>
  <c r="L13" i="5" s="1"/>
  <c r="K14" i="5"/>
  <c r="K13" i="5" s="1"/>
  <c r="J14" i="5"/>
  <c r="J13" i="5" s="1"/>
  <c r="M14" i="5"/>
  <c r="F27" i="4"/>
  <c r="C14" i="3"/>
  <c r="E14" i="3" s="1"/>
  <c r="F10" i="3"/>
  <c r="G10" i="3"/>
  <c r="J25" i="4"/>
  <c r="M25" i="4"/>
  <c r="J14" i="3" s="1"/>
  <c r="L14" i="3" s="1"/>
  <c r="L25" i="4"/>
  <c r="K25" i="4"/>
  <c r="M10" i="3"/>
  <c r="N10" i="3"/>
  <c r="G25" i="4"/>
  <c r="C8" i="1"/>
  <c r="E7" i="1"/>
  <c r="M20" i="3"/>
  <c r="N21" i="3" l="1"/>
  <c r="M21" i="3"/>
  <c r="M13" i="5"/>
  <c r="K15" i="3" s="1"/>
  <c r="K16" i="3"/>
  <c r="C40" i="2"/>
  <c r="D13" i="1"/>
  <c r="C35" i="2"/>
  <c r="F7" i="1"/>
  <c r="G7" i="1" s="1"/>
  <c r="D38" i="3"/>
  <c r="E38" i="3" s="1"/>
  <c r="C16" i="3"/>
  <c r="E16" i="3" s="1"/>
  <c r="G14" i="3"/>
  <c r="F14" i="3"/>
  <c r="M14" i="3"/>
  <c r="N14" i="3"/>
  <c r="K27" i="4"/>
  <c r="K26" i="4" s="1"/>
  <c r="G27" i="4"/>
  <c r="C39" i="2" s="1"/>
  <c r="J27" i="4"/>
  <c r="J26" i="4" s="1"/>
  <c r="L27" i="4"/>
  <c r="L26" i="4" s="1"/>
  <c r="M27" i="4"/>
  <c r="C12" i="1"/>
  <c r="E12" i="1" s="1"/>
  <c r="F12" i="1" s="1"/>
  <c r="G12" i="1" s="1"/>
  <c r="E8" i="1"/>
  <c r="C14" i="1"/>
  <c r="E14" i="1" s="1"/>
  <c r="G16" i="3" l="1"/>
  <c r="F16" i="3"/>
  <c r="C29" i="2"/>
  <c r="C13" i="1"/>
  <c r="E13" i="1" s="1"/>
  <c r="G26" i="4"/>
  <c r="J16" i="3"/>
  <c r="L16" i="3" s="1"/>
  <c r="M26" i="4"/>
  <c r="J15" i="3" s="1"/>
  <c r="L15" i="3" s="1"/>
  <c r="N15" i="3" s="1"/>
  <c r="F8" i="1"/>
  <c r="G8" i="1" l="1"/>
  <c r="F13" i="1"/>
  <c r="N16" i="3"/>
  <c r="M16" i="3"/>
  <c r="G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<sst xmlns="http://schemas.openxmlformats.org/spreadsheetml/2006/main" count="328" uniqueCount="156">
  <si>
    <t>Full year FY26 (₹ Cr)</t>
  </si>
  <si>
    <t>Budget</t>
  </si>
  <si>
    <t>Actual</t>
  </si>
  <si>
    <t>Variance</t>
  </si>
  <si>
    <t>Var %</t>
  </si>
  <si>
    <t>F / U</t>
  </si>
  <si>
    <t>Sales</t>
  </si>
  <si>
    <t>Expenses</t>
  </si>
  <si>
    <t>Operating profit</t>
  </si>
  <si>
    <t>Other income</t>
  </si>
  <si>
    <t>Interest</t>
  </si>
  <si>
    <t>Depreciation</t>
  </si>
  <si>
    <t>Profit before tax</t>
  </si>
  <si>
    <t>Net profit</t>
  </si>
  <si>
    <t>Operating margin</t>
  </si>
  <si>
    <t>Sales by quarter (₹ Cr)</t>
  </si>
  <si>
    <t>₹ Cr</t>
  </si>
  <si>
    <t>Cost line</t>
  </si>
  <si>
    <t>Budget % of sales</t>
  </si>
  <si>
    <t>Actual % of sales</t>
  </si>
  <si>
    <t>Material cost</t>
  </si>
  <si>
    <t>Employee cost</t>
  </si>
  <si>
    <t>Advertisement &amp; publicity</t>
  </si>
  <si>
    <t>Other expenses</t>
  </si>
  <si>
    <t>Step</t>
  </si>
  <si>
    <t>Impact</t>
  </si>
  <si>
    <t>Budget net profit</t>
  </si>
  <si>
    <t>Other expenses &amp; rounding</t>
  </si>
  <si>
    <t>Tax &amp; minority</t>
  </si>
  <si>
    <t>Actual net profit</t>
  </si>
  <si>
    <t>Mar-26</t>
  </si>
  <si>
    <t>Selected quarter (₹ Cr)</t>
  </si>
  <si>
    <t>Particulars</t>
  </si>
  <si>
    <t>Actuals</t>
  </si>
  <si>
    <t>YTD Budget</t>
  </si>
  <si>
    <t>YTD Actuals</t>
  </si>
  <si>
    <t>Operating Profit</t>
  </si>
  <si>
    <t>Other Income</t>
  </si>
  <si>
    <t>Tax %</t>
  </si>
  <si>
    <t>Net Profit</t>
  </si>
  <si>
    <t>Quarter</t>
  </si>
  <si>
    <t>Line item</t>
  </si>
  <si>
    <t>What happened and why</t>
  </si>
  <si>
    <t>Source</t>
  </si>
  <si>
    <t>Jun-25</t>
  </si>
  <si>
    <t>Model calculation (Budget and Actuals sheets)</t>
  </si>
  <si>
    <t>Sep-25</t>
  </si>
  <si>
    <t>Dabur Q2 FY26 investor communication and earnings call</t>
  </si>
  <si>
    <t>Dabur Q2 FY26 investor communication</t>
  </si>
  <si>
    <t>Dec-25</t>
  </si>
  <si>
    <t>Dabur Q3 FY26 investor communication and earnings call</t>
  </si>
  <si>
    <t>Dabur Q3 FY26 investor communication; FY25 annual report</t>
  </si>
  <si>
    <t>Dabur Q4 FY26 investor communication and earnings call</t>
  </si>
  <si>
    <t>Dabur Q4 FY26 investor communication</t>
  </si>
  <si>
    <t>Jun-24</t>
  </si>
  <si>
    <t>Sep-24</t>
  </si>
  <si>
    <t>Dec-24</t>
  </si>
  <si>
    <t>Mar-25</t>
  </si>
  <si>
    <t>FY25 Total</t>
  </si>
  <si>
    <t>Year to Date</t>
  </si>
  <si>
    <t>FY26 Total</t>
  </si>
  <si>
    <t>Assumptions</t>
  </si>
  <si>
    <t>Sales growth</t>
  </si>
  <si>
    <t>Other income growth</t>
  </si>
  <si>
    <t>Modest growth on treasury income</t>
  </si>
  <si>
    <t>Cost lines</t>
  </si>
  <si>
    <t>Net profit basis</t>
  </si>
  <si>
    <t>Total expenses</t>
  </si>
  <si>
    <t>Total of line items</t>
  </si>
  <si>
    <t>Dabur India - Quarterly Results (Consolidated, ₹ Cr)</t>
  </si>
  <si>
    <t>Jun-23</t>
  </si>
  <si>
    <t>Sep-23</t>
  </si>
  <si>
    <t>Dec-23</t>
  </si>
  <si>
    <t>Mar-24</t>
  </si>
  <si>
    <t>OPM %</t>
  </si>
  <si>
    <t>Analysis rows</t>
  </si>
  <si>
    <t>Sales growth YoY</t>
  </si>
  <si>
    <t>Expenses % of sales</t>
  </si>
  <si>
    <t>Fiscal year totals</t>
  </si>
  <si>
    <t>FY24 (Jun-23 to Mar-24)</t>
  </si>
  <si>
    <t>FY25 (Jun-24 to Mar-25)</t>
  </si>
  <si>
    <t>FY26 (Jun-25 to Mar-26)</t>
  </si>
  <si>
    <t>Sales Growth</t>
  </si>
  <si>
    <t>Dabur India FY26 - Budget vs Actual Summary</t>
  </si>
  <si>
    <t>2. Costs were under control: ₹10,742 Cr vs ₹10,759 Cr budget (₹17 Cr under). Expenses stayed at 81.4% of sales vs 81.6% budgeted, despite rising input costs.</t>
  </si>
  <si>
    <t>3. Operating profit beat budget by ₹18 Cr (+0.7%). Operating margin was 18.6% vs 18.4% budget (+13 bps).</t>
  </si>
  <si>
    <t>4. Net profit beat budget by ₹23 Cr (+1.2%). Savings on interest (₹17 Cr) and extra other income (₹6 Cr) helped; depreciation ran ₹22 Cr over budget.</t>
  </si>
  <si>
    <t>1. Plan for bad weather: set a safer, lower sales target for summer products in Q1.</t>
  </si>
  <si>
    <t>3. Budget the smaller lines properly: base interest, depreciation and other income on actual plans and current rates, not last year's numbers.</t>
  </si>
  <si>
    <t>Recommendations - what to do next</t>
  </si>
  <si>
    <t>FY26 Budget</t>
  </si>
  <si>
    <t>FY26 Actuals</t>
  </si>
  <si>
    <t xml:space="preserve">Cost breakdown </t>
  </si>
  <si>
    <t xml:space="preserve">Key variances by quarter - commentary </t>
  </si>
  <si>
    <t>Dabur Q1 FY26 results</t>
  </si>
  <si>
    <t>Unseasonal summer rains hurt drinks and other summer products. Sales came in ₹111 Cr below budget.</t>
  </si>
  <si>
    <t>Costs fell in line with lower sales (both about 3% below budget). Ad spend was also cut 14% to ₹202 Cr.</t>
  </si>
  <si>
    <t>Operating profit was ₹667 Cr vs ₹688 Cr budget. Margin held at about 19.6%, so the miss came from lower sales, not higher costs.</t>
  </si>
  <si>
    <t>Sales grew 5.4% to ₹3,191 Cr, slightly above budget. The GST rate cut made distributors cut stock (about ₹100 Cr hit) and heavy rains hurt juices, but toothpaste, foods and juices gained market share.</t>
  </si>
  <si>
    <t>Costs were in line with budget. Raw material costs rose about 8%, but price increases and cost savings made up for it.</t>
  </si>
  <si>
    <t>Net profit was ₹445 Cr, slightly above budget, helped by lower interest and a lower tax rate. The company reports ₹453 Cr because it uses profit after minority interest.</t>
  </si>
  <si>
    <t>Sales grew 6.1% to ₹3,559 Cr, above budget. October was slow after the GST cut, but demand recovered in November and December. Hair oils (+19%), toothpaste, foods and rural sales led growth.</t>
  </si>
  <si>
    <t>Operating profit grew 7.7% to ₹734 Cr and margin rose to 20.6%. Coconut oil prices roughly doubled, but price increases and cost savings covered it.</t>
  </si>
  <si>
    <t>Interest was ₹31 Cr vs ₹44 Cr budget (₹13 Cr saving). This is likely due to lower borrowings, as the budget used last year's higher interest cost. To be confirmed from the debt schedule.</t>
  </si>
  <si>
    <t>Sales grew 7.3% to ₹3,038 Cr, above budget. Hair oils, shampoo, home care and foods grew strongly, helped by fast growth in online sales. International sales were weak due to the Middle East conflict.</t>
  </si>
  <si>
    <t>Costs were about ₹54 Cr over budget, mainly from higher ad spend (₹29 Cr over) and staff costs (₹29 Cr over). Material costs were ₹15 Cr under budget. Management expects about 10% cost inflation next year and has raised prices by about 4%.</t>
  </si>
  <si>
    <t>Net profit rose 16% to ₹362 Cr, above budget. Operating profit grew faster than sales, and other income was higher (about ₹175 Cr vs ₹141 Cr last year).</t>
  </si>
  <si>
    <t>Dabur Q1 FY26 results and earnings call</t>
  </si>
  <si>
    <t>Cost breakdown (₹ Cr) - from Dabur results filings</t>
  </si>
  <si>
    <t>2. Plan for higher costs: include expected raw material inflation (10%) in the budget, and check that price rises aren't hurting sales volumes.</t>
  </si>
  <si>
    <t xml:space="preserve">Year to Date </t>
  </si>
  <si>
    <t xml:space="preserve">Total </t>
  </si>
  <si>
    <t xml:space="preserve">Key findings </t>
  </si>
  <si>
    <t xml:space="preserve">Root causes </t>
  </si>
  <si>
    <t>FY25 Actuals</t>
  </si>
  <si>
    <t xml:space="preserve">Each cost line = budget sales × that line's % of sales in the same FY25 quarter. </t>
  </si>
  <si>
    <r>
      <rPr>
        <b/>
        <i/>
        <sz val="9"/>
        <color rgb="FF595959"/>
        <rFont val="Calibri"/>
        <family val="2"/>
        <scheme val="minor"/>
      </rPr>
      <t>←</t>
    </r>
    <r>
      <rPr>
        <i/>
        <sz val="9"/>
        <color rgb="FF595959"/>
        <rFont val="Calibri"/>
        <family val="2"/>
        <scheme val="minor"/>
      </rPr>
      <t xml:space="preserve"> Select quarter</t>
    </r>
  </si>
  <si>
    <t>Volume growth (within sales growth)</t>
  </si>
  <si>
    <t>Assumed split of the 5% sales growth: 3% volume, rest price/mix. Used only for the volume vs price/mix analysis.</t>
  </si>
  <si>
    <t>Implied price/mix growth</t>
  </si>
  <si>
    <t>Worked out from sales growth and volume growth.</t>
  </si>
  <si>
    <t>India FMCG volume growth (YoY)</t>
  </si>
  <si>
    <t>Volume growth is for the India FMCG business only (about two-thirds of sales). It is used as a proxy for the whole group in the volume vs price/mix split.</t>
  </si>
  <si>
    <t>FY26</t>
  </si>
  <si>
    <t>Prior-year sales (FY25, same quarter)</t>
  </si>
  <si>
    <t>Budget volume growth</t>
  </si>
  <si>
    <t>Budget price/mix growth</t>
  </si>
  <si>
    <t>Actual volume growth (India FMCG, proxy)</t>
  </si>
  <si>
    <t>Actual price/mix growth (implied)</t>
  </si>
  <si>
    <t>Step 1: Budget sales (budget volume, budget price)</t>
  </si>
  <si>
    <t>Step 2: Sales at actual volume, budget price</t>
  </si>
  <si>
    <t>Step 3: Actual sales (actual volume, actual price)</t>
  </si>
  <si>
    <t>Volume variance</t>
  </si>
  <si>
    <t>Price/mix variance</t>
  </si>
  <si>
    <t>Total sales variance</t>
  </si>
  <si>
    <t>3. Net profit bridge: FY26 budget to actual (₹ Cr)</t>
  </si>
  <si>
    <t>6. Cost lines vs budget (+ = saving, ₹ Cr): material +38, advertising +20, employee -20, other -20. Material savings paid for higher staff and overhead costs.</t>
  </si>
  <si>
    <t>Sales: volume</t>
  </si>
  <si>
    <t>Sales: price/mix</t>
  </si>
  <si>
    <t>5. The sales line hid two opposite moves: volume was ₹81 Cr below budget (Q1 rains), while price/mix added ₹83 Cr. See Variance Drivers.</t>
  </si>
  <si>
    <t>1. Bad weather: unseasonal rains in the summer quarter (Q1) hurt sales of drinks and other summer products.</t>
  </si>
  <si>
    <t>2. GST change: a tax rate cut made distributors hold less stock in Q2, but demand picked up again from November.</t>
  </si>
  <si>
    <t>3. Higher costs, balanced by price rises: raw materials got more expensive, but price increases, cost savings and strong sellers (hair oil, toothpaste, foods, online sales) kept profits on track.</t>
  </si>
  <si>
    <t>Sales variance: volume vs price/mix (₹ Cr)</t>
  </si>
  <si>
    <t xml:space="preserve"> FY26 budget (Built from FY25 actuals)</t>
  </si>
  <si>
    <t>FY26 actuals (pulled from Data sheet)</t>
  </si>
  <si>
    <t xml:space="preserve"> Variance drivers</t>
  </si>
  <si>
    <t>Change (pts)</t>
  </si>
  <si>
    <t>Total</t>
  </si>
  <si>
    <t>Cost ratios: Budget vs actual (% of sales)</t>
  </si>
  <si>
    <t>Variance sign: F = favourable, U = Unfavourable</t>
  </si>
  <si>
    <t>1. Sales were on budget for the year: ₹13,193 Cr vs ₹13,191 Cr budget. But the path was uneven: Q1 missed budget by ₹111 Cr, and Q2-Q4 together came in ₹113 Cr above budget to make up the gap.</t>
  </si>
  <si>
    <t>FY25 sales grew 1.3%; FY26 assumes recovery to 5%</t>
  </si>
  <si>
    <t>Budget net profit = PBT × (1 − tax rate). Actual net profit is the reported figure, which also reflects minority interest , a ₹2-4 Cr a quarter gap shown as "Tax &amp; minority" in the bridge.</t>
  </si>
  <si>
    <t>Check: total (actual minus budget sales)</t>
  </si>
  <si>
    <t>Budget vs. Actuals by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</si>
</sst>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\(#,##0.0\);\-"/>
    <numFmt numFmtId="165" formatCode="0.0%;\(0.0%\);\-"/>
    <numFmt numFmtId="166" formatCode="0.0%"/>
    <numFmt numFmtId="167" formatCode="0&quot; bps&quot;;\(0&quot; bps)&quot;;\-"/>
    <numFmt numFmtId="168" formatCode="_(* #,##0.00_);_(* \(#,##0.00\);_(* \-??_);_(@_)"/>
    <numFmt numFmtId="169" formatCode="_ * #,##0_ ;_ * \-#,##0_ ;_ * \-??_ ;_ @_ "/>
    <numFmt numFmtId="170" formatCode="#,##0;\(#,##0\);\-"/>
    <numFmt numFmtId="171" formatCode="0.00;\(0.00\);\-"/>
  </numFmts>
  <fonts count="3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8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rgb="FF1F3864"/>
      </patternFill>
    </fill>
    <fill>
      <patternFill patternType="solid">
        <fgColor theme="3" tint="-0.249977111117893"/>
        <bgColor rgb="FF1F497D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3864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3">
    <xf numFmtId="0" fontId="0" fillId="0" borderId="0"/>
    <xf numFmtId="168" fontId="4" fillId="0" borderId="0"/>
    <xf numFmtId="9" fontId="4" fillId="0" borderId="0"/>
  </cellStyleXfs>
  <cellXfs count="126">
    <xf numFmtId="0" fontId="0" fillId="0" borderId="0" xfId="0"/>
    <xf numFmtId="0" fontId="3" fillId="0" borderId="0" xfId="0" applyFont="1"/>
    <xf numFmtId="0" fontId="8" fillId="2" borderId="1" xfId="0" applyFont="1" applyFill="1" applyBorder="1" applyAlignment="1">
      <alignment horizontal="center"/>
    </xf>
    <xf numFmtId="0" fontId="3" fillId="0" borderId="1" xfId="0" applyFont="1" applyBorder="1"/>
    <xf numFmtId="164" fontId="9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164" fontId="10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66" fontId="11" fillId="0" borderId="1" xfId="0" applyNumberFormat="1" applyFont="1" applyBorder="1"/>
    <xf numFmtId="167" fontId="3" fillId="0" borderId="1" xfId="0" applyNumberFormat="1" applyFont="1" applyBorder="1"/>
    <xf numFmtId="0" fontId="12" fillId="0" borderId="0" xfId="0" applyFont="1"/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70" fontId="15" fillId="0" borderId="1" xfId="0" applyNumberFormat="1" applyFont="1" applyBorder="1"/>
    <xf numFmtId="170" fontId="16" fillId="0" borderId="1" xfId="0" applyNumberFormat="1" applyFont="1" applyBorder="1"/>
    <xf numFmtId="0" fontId="17" fillId="0" borderId="1" xfId="0" applyFont="1" applyBorder="1"/>
    <xf numFmtId="9" fontId="15" fillId="0" borderId="1" xfId="0" applyNumberFormat="1" applyFont="1" applyBorder="1"/>
    <xf numFmtId="9" fontId="16" fillId="0" borderId="1" xfId="0" applyNumberFormat="1" applyFont="1" applyBorder="1"/>
    <xf numFmtId="0" fontId="6" fillId="0" borderId="0" xfId="0" applyFont="1"/>
    <xf numFmtId="0" fontId="8" fillId="5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right" vertical="center" wrapText="1"/>
    </xf>
    <xf numFmtId="170" fontId="14" fillId="0" borderId="1" xfId="0" applyNumberFormat="1" applyFont="1" applyBorder="1"/>
    <xf numFmtId="170" fontId="17" fillId="0" borderId="1" xfId="0" applyNumberFormat="1" applyFont="1" applyBorder="1"/>
    <xf numFmtId="9" fontId="14" fillId="0" borderId="1" xfId="0" applyNumberFormat="1" applyFont="1" applyBorder="1"/>
    <xf numFmtId="9" fontId="17" fillId="0" borderId="1" xfId="0" applyNumberFormat="1" applyFont="1" applyBorder="1"/>
    <xf numFmtId="166" fontId="14" fillId="0" borderId="1" xfId="0" applyNumberFormat="1" applyFont="1" applyBorder="1"/>
    <xf numFmtId="0" fontId="17" fillId="0" borderId="5" xfId="0" applyFont="1" applyBorder="1"/>
    <xf numFmtId="170" fontId="14" fillId="0" borderId="5" xfId="0" applyNumberFormat="1" applyFont="1" applyBorder="1"/>
    <xf numFmtId="170" fontId="17" fillId="0" borderId="5" xfId="0" applyNumberFormat="1" applyFont="1" applyBorder="1"/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9" fillId="0" borderId="6" xfId="0" applyFont="1" applyBorder="1"/>
    <xf numFmtId="170" fontId="19" fillId="0" borderId="1" xfId="0" applyNumberFormat="1" applyFont="1" applyBorder="1"/>
    <xf numFmtId="170" fontId="20" fillId="0" borderId="3" xfId="0" applyNumberFormat="1" applyFont="1" applyBorder="1"/>
    <xf numFmtId="170" fontId="19" fillId="0" borderId="3" xfId="0" applyNumberFormat="1" applyFont="1" applyBorder="1"/>
    <xf numFmtId="0" fontId="20" fillId="0" borderId="10" xfId="0" applyFont="1" applyBorder="1"/>
    <xf numFmtId="170" fontId="20" fillId="0" borderId="5" xfId="0" applyNumberFormat="1" applyFont="1" applyBorder="1"/>
    <xf numFmtId="170" fontId="20" fillId="0" borderId="11" xfId="0" applyNumberFormat="1" applyFont="1" applyBorder="1"/>
    <xf numFmtId="9" fontId="21" fillId="0" borderId="0" xfId="2" applyFont="1"/>
    <xf numFmtId="166" fontId="15" fillId="3" borderId="0" xfId="0" applyNumberFormat="1" applyFont="1" applyFill="1"/>
    <xf numFmtId="0" fontId="22" fillId="0" borderId="0" xfId="0" applyFont="1"/>
    <xf numFmtId="0" fontId="19" fillId="0" borderId="0" xfId="0" applyFont="1"/>
    <xf numFmtId="0" fontId="14" fillId="7" borderId="1" xfId="0" applyFont="1" applyFill="1" applyBorder="1"/>
    <xf numFmtId="170" fontId="14" fillId="7" borderId="1" xfId="0" applyNumberFormat="1" applyFont="1" applyFill="1" applyBorder="1"/>
    <xf numFmtId="170" fontId="17" fillId="7" borderId="1" xfId="0" applyNumberFormat="1" applyFont="1" applyFill="1" applyBorder="1"/>
    <xf numFmtId="9" fontId="14" fillId="7" borderId="1" xfId="0" applyNumberFormat="1" applyFont="1" applyFill="1" applyBorder="1"/>
    <xf numFmtId="9" fontId="17" fillId="7" borderId="1" xfId="0" applyNumberFormat="1" applyFont="1" applyFill="1" applyBorder="1"/>
    <xf numFmtId="49" fontId="16" fillId="3" borderId="0" xfId="0" applyNumberFormat="1" applyFont="1" applyFill="1" applyAlignment="1">
      <alignment horizontal="left"/>
    </xf>
    <xf numFmtId="49" fontId="16" fillId="0" borderId="0" xfId="0" applyNumberFormat="1" applyFont="1" applyAlignment="1">
      <alignment horizontal="left"/>
    </xf>
    <xf numFmtId="0" fontId="1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169" fontId="21" fillId="0" borderId="2" xfId="1" applyNumberFormat="1" applyFont="1" applyBorder="1" applyAlignment="1">
      <alignment horizontal="right"/>
    </xf>
    <xf numFmtId="166" fontId="21" fillId="0" borderId="2" xfId="2" applyNumberFormat="1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166" fontId="21" fillId="0" borderId="2" xfId="1" applyNumberFormat="1" applyFont="1" applyBorder="1" applyAlignment="1">
      <alignment horizontal="right"/>
    </xf>
    <xf numFmtId="169" fontId="3" fillId="0" borderId="2" xfId="0" applyNumberFormat="1" applyFont="1" applyBorder="1"/>
    <xf numFmtId="0" fontId="19" fillId="0" borderId="1" xfId="0" applyFont="1" applyBorder="1" applyAlignment="1">
      <alignment horizontal="left" vertical="center"/>
    </xf>
    <xf numFmtId="166" fontId="19" fillId="0" borderId="1" xfId="0" applyNumberFormat="1" applyFont="1" applyBorder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vertical="top" wrapText="1"/>
    </xf>
    <xf numFmtId="170" fontId="19" fillId="0" borderId="1" xfId="0" applyNumberFormat="1" applyFont="1" applyBorder="1" applyAlignment="1">
      <alignment vertical="top"/>
    </xf>
    <xf numFmtId="0" fontId="19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vertical="top" wrapText="1"/>
    </xf>
    <xf numFmtId="0" fontId="19" fillId="0" borderId="1" xfId="0" applyFont="1" applyBorder="1"/>
    <xf numFmtId="164" fontId="24" fillId="0" borderId="1" xfId="0" applyNumberFormat="1" applyFont="1" applyBorder="1"/>
    <xf numFmtId="164" fontId="19" fillId="0" borderId="1" xfId="0" applyNumberFormat="1" applyFont="1" applyBorder="1"/>
    <xf numFmtId="165" fontId="19" fillId="0" borderId="1" xfId="0" applyNumberFormat="1" applyFont="1" applyBorder="1"/>
    <xf numFmtId="0" fontId="20" fillId="0" borderId="1" xfId="0" applyFont="1" applyBorder="1"/>
    <xf numFmtId="164" fontId="20" fillId="0" borderId="1" xfId="0" applyNumberFormat="1" applyFont="1" applyBorder="1"/>
    <xf numFmtId="0" fontId="25" fillId="0" borderId="0" xfId="0" applyFont="1"/>
    <xf numFmtId="0" fontId="8" fillId="2" borderId="1" xfId="0" applyFont="1" applyFill="1" applyBorder="1" applyAlignment="1">
      <alignment horizontal="center" vertical="center" wrapText="1"/>
    </xf>
    <xf numFmtId="169" fontId="3" fillId="0" borderId="0" xfId="0" applyNumberFormat="1" applyFont="1"/>
    <xf numFmtId="170" fontId="3" fillId="0" borderId="0" xfId="0" applyNumberFormat="1" applyFont="1"/>
    <xf numFmtId="170" fontId="3" fillId="0" borderId="1" xfId="0" applyNumberFormat="1" applyFont="1" applyBorder="1"/>
    <xf numFmtId="0" fontId="26" fillId="0" borderId="0" xfId="0" applyFont="1"/>
    <xf numFmtId="164" fontId="27" fillId="0" borderId="1" xfId="0" applyNumberFormat="1" applyFont="1" applyBorder="1"/>
    <xf numFmtId="0" fontId="20" fillId="0" borderId="0" xfId="0" applyFont="1"/>
    <xf numFmtId="166" fontId="11" fillId="3" borderId="0" xfId="0" applyNumberFormat="1" applyFont="1" applyFill="1"/>
    <xf numFmtId="166" fontId="15" fillId="0" borderId="1" xfId="0" applyNumberFormat="1" applyFont="1" applyBorder="1"/>
    <xf numFmtId="0" fontId="28" fillId="0" borderId="0" xfId="0" applyFont="1"/>
    <xf numFmtId="164" fontId="19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/>
    <xf numFmtId="165" fontId="19" fillId="0" borderId="1" xfId="0" applyNumberFormat="1" applyFont="1" applyBorder="1" applyAlignment="1">
      <alignment horizontal="center" vertical="center"/>
    </xf>
    <xf numFmtId="0" fontId="29" fillId="0" borderId="1" xfId="0" applyFont="1" applyBorder="1"/>
    <xf numFmtId="164" fontId="29" fillId="0" borderId="1" xfId="0" applyNumberFormat="1" applyFont="1" applyBorder="1"/>
    <xf numFmtId="164" fontId="29" fillId="0" borderId="1" xfId="0" applyNumberFormat="1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17" fillId="0" borderId="0" xfId="0" applyFont="1"/>
    <xf numFmtId="0" fontId="30" fillId="0" borderId="0" xfId="0" applyFont="1"/>
    <xf numFmtId="0" fontId="3" fillId="0" borderId="0" xfId="0" applyFont="1" applyAlignment="1">
      <alignment wrapText="1"/>
    </xf>
    <xf numFmtId="170" fontId="9" fillId="0" borderId="1" xfId="0" applyNumberFormat="1" applyFont="1" applyBorder="1"/>
    <xf numFmtId="9" fontId="9" fillId="0" borderId="1" xfId="0" applyNumberFormat="1" applyFont="1" applyBorder="1"/>
    <xf numFmtId="170" fontId="9" fillId="7" borderId="1" xfId="0" applyNumberFormat="1" applyFont="1" applyFill="1" applyBorder="1"/>
    <xf numFmtId="9" fontId="9" fillId="7" borderId="1" xfId="0" applyNumberFormat="1" applyFont="1" applyFill="1" applyBorder="1"/>
    <xf numFmtId="0" fontId="0" fillId="0" borderId="4" xfId="0" applyBorder="1"/>
    <xf numFmtId="166" fontId="32" fillId="0" borderId="1" xfId="0" applyNumberFormat="1" applyFont="1" applyBorder="1"/>
    <xf numFmtId="171" fontId="33" fillId="0" borderId="1" xfId="0" applyNumberFormat="1" applyFont="1" applyBorder="1"/>
    <xf numFmtId="0" fontId="35" fillId="0" borderId="1" xfId="0" applyFont="1" applyBorder="1" applyAlignment="1">
      <alignment horizontal="center"/>
    </xf>
    <xf numFmtId="166" fontId="34" fillId="0" borderId="1" xfId="0" applyNumberFormat="1" applyFont="1" applyBorder="1"/>
    <xf numFmtId="171" fontId="34" fillId="0" borderId="1" xfId="0" applyNumberFormat="1" applyFont="1" applyBorder="1"/>
    <xf numFmtId="0" fontId="34" fillId="0" borderId="1" xfId="0" applyFont="1" applyBorder="1" applyAlignment="1">
      <alignment horizontal="center"/>
    </xf>
    <xf numFmtId="0" fontId="18" fillId="8" borderId="8" xfId="0" applyFont="1" applyFill="1" applyBorder="1" applyAlignment="1">
      <alignment horizontal="center" vertical="center" wrapText="1"/>
    </xf>
    <xf numFmtId="0" fontId="31" fillId="8" borderId="8" xfId="0" applyFont="1" applyFill="1" applyBorder="1" applyAlignment="1">
      <alignment horizontal="center" wrapText="1"/>
    </xf>
    <xf numFmtId="0" fontId="26" fillId="0" borderId="4" xfId="0" applyFont="1" applyBorder="1"/>
    <xf numFmtId="166" fontId="4" fillId="0" borderId="1" xfId="2" applyNumberFormat="1" applyBorder="1"/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6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top" wrapText="1"/>
    </xf>
    <xf numFmtId="0" fontId="18" fillId="2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81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8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9" formatCode="_ * #,##0_ ;_ * \-#,##0_ ;_ * \-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9" formatCode="_ * #,##0_ ;_ * \-#,##0_ ;_ * \-??_ ;_ @_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1F497D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1F497D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#,##0;\(#,##0\);\-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"/>
        <scheme val="none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1F3864"/>
          <bgColor theme="3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1F3864"/>
      <rgbColor rgb="FF2E7D32"/>
      <rgbColor rgb="FF006100"/>
      <rgbColor rgb="FF333300"/>
      <rgbColor rgb="FFC62828"/>
      <rgbColor rgb="FF993366"/>
      <rgbColor rgb="FF1F497D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FY26 net profit: budget to actual (₹ Cr)</cx:v>
        </cx:txData>
      </cx:tx>
    </cx:title>
    <cx:plotArea>
      <cx:plotAreaRegion>
        <cx:series layoutId="waterfall" uniqueId="{00000001-2B5D-47D0-B263-97E922268DCC}">
          <cx:tx>
            <cx:txData>
              <cx:f>_xlchart.v1.1</cx:f>
              <cx:v>Impact</cx:v>
            </cx:txData>
          </cx:tx>
          <cx:dataPt idx="11">
            <cx:spPr>
              <a:solidFill>
                <a:srgbClr val="0070C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1"/>
            </cx:subtotals>
          </cx:layoutPr>
        </cx:series>
      </cx:plotAreaRegion>
      <cx:axis id="0">
        <cx:catScaling gapWidth="0.5"/>
        <cx:tickLabels/>
      </cx:axis>
      <cx:axis id="1">
        <cx:valScaling max="1900" min="17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733778</xdr:colOff>
      <xdr:row>43</xdr:row>
      <xdr:rowOff>104114</xdr:rowOff>
    </xdr:from>
    <xdr:to>
      <xdr:col>9</xdr:col>
      <xdr:colOff>732107</xdr:colOff>
      <xdr:row>64</xdr:row>
      <xdr:rowOff>129889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6F13DC7-89FF-44C1-0CC0-B5380E65A2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178" y="8308314"/>
              <a:ext cx="9288379" cy="3892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686EE-F991-4680-A2D1-002B196CF481}" name="Table2" displayName="Table2" ref="B18:G27" headerRowCount="0" totalsRowShown="0" headerRowDxfId="80" dataDxfId="78" headerRowBorderDxfId="79" tableBorderDxfId="77" totalsRowBorderDxfId="76">
  <tableColumns count="6">
    <tableColumn id="1" xr3:uid="{E605CEC0-476E-4B20-9303-CC873AF27FFD}" name="Budget" headerRowDxfId="75" dataDxfId="74"/>
    <tableColumn id="2" xr3:uid="{89DB8D31-05E6-4410-9480-E68B4EE9734A}" name="Column1" headerRowDxfId="73" dataDxfId="72"/>
    <tableColumn id="3" xr3:uid="{DD0E496F-C6ED-416A-84BA-60B482EBFECB}" name="Column2" headerRowDxfId="71" dataDxfId="70"/>
    <tableColumn id="4" xr3:uid="{F9609211-93BC-4F37-829A-619F7C2CC17E}" name="Column3" headerRowDxfId="69" dataDxfId="68"/>
    <tableColumn id="5" xr3:uid="{E3C90E9A-A963-4645-9385-947430A6665D}" name="Column4" headerRowDxfId="67" dataDxfId="66"/>
    <tableColumn id="6" xr3:uid="{64BD14F1-6C87-43A7-B907-FBEF724FD578}" name="Column5" headerRowDxfId="65" dataDxfId="64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9E1508-55CA-4CBD-9BF3-9307FDA4056B}" name="Table3" displayName="Table3" ref="I18:M27" headerRowCount="0" totalsRowShown="0" headerRowDxfId="63" dataDxfId="61" headerRowBorderDxfId="62" tableBorderDxfId="60" totalsRowBorderDxfId="59">
  <tableColumns count="5">
    <tableColumn id="1" xr3:uid="{363BD58B-4A5F-4916-A5E8-94D47742BCC4}" name="Year to Date" headerRowDxfId="58" dataDxfId="57">
      <calculatedColumnFormula>B18</calculatedColumnFormula>
    </tableColumn>
    <tableColumn id="2" xr3:uid="{50E2620F-688E-42AB-A063-0D0CFC29AF27}" name="Column1" headerRowDxfId="56" dataDxfId="55">
      <calculatedColumnFormula>SUM($C18:C18)</calculatedColumnFormula>
    </tableColumn>
    <tableColumn id="3" xr3:uid="{AC34018D-AD3F-42B1-B7AB-C8B215AE19B4}" name="Column2" headerRowDxfId="54" dataDxfId="53">
      <calculatedColumnFormula>SUM($C18:D18)</calculatedColumnFormula>
    </tableColumn>
    <tableColumn id="4" xr3:uid="{5075254F-84AD-4225-BE89-9258DE95035F}" name="Column3" headerRowDxfId="52" dataDxfId="51">
      <calculatedColumnFormula>SUM($C18:E18)</calculatedColumnFormula>
    </tableColumn>
    <tableColumn id="5" xr3:uid="{79A86FC6-180E-4C9D-B281-0AE9300C496A}" name="Column4" headerRowDxfId="50" dataDxfId="49">
      <calculatedColumnFormula>SUM($C18:F18)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F2BF70-C75D-4E6D-86BC-7C74EEA83C66}" name="Table4" displayName="Table4" ref="B32:G37" totalsRowShown="0" headerRowDxfId="48" dataDxfId="46" headerRowBorderDxfId="47" tableBorderDxfId="45" totalsRowBorderDxfId="44">
  <autoFilter ref="B32:G37" xr:uid="{F0F2BF70-C75D-4E6D-86BC-7C74EEA83C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364990E-90FD-44BC-A60D-F6258AB7FC1A}" name="₹ Cr" dataDxfId="43"/>
    <tableColumn id="2" xr3:uid="{49450DE2-EADE-4762-9B53-A6EB7145BCD2}" name="Jun-25" dataDxfId="42"/>
    <tableColumn id="3" xr3:uid="{0B38D042-593A-4AC3-A2FF-945A7DB6AA1B}" name="Sep-25" dataDxfId="41"/>
    <tableColumn id="4" xr3:uid="{58615F1F-59E3-473B-8F4F-8A48F08AD811}" name="Dec-25" dataDxfId="40"/>
    <tableColumn id="5" xr3:uid="{67168DCF-6F88-4700-BBE4-C6A593EE8A17}" name="Mar-26" dataDxfId="39"/>
    <tableColumn id="6" xr3:uid="{7C47C919-4109-48AA-80C1-57918FD12C85}" name="FY26 Total" dataDxfId="38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701CD3-55C7-443E-9ACE-5FAB0F92ABDF}" name="Table5" displayName="Table5" ref="I32:M37" totalsRowShown="0" headerRowDxfId="37" dataDxfId="35" headerRowBorderDxfId="36" tableBorderDxfId="34" totalsRowBorderDxfId="33">
  <autoFilter ref="I32:M37" xr:uid="{E1701CD3-55C7-443E-9ACE-5FAB0F92ABD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2E46432-46DC-4AFB-AB9A-22D5089E90CE}" name="₹ Cr" dataDxfId="32">
      <calculatedColumnFormula>B33</calculatedColumnFormula>
    </tableColumn>
    <tableColumn id="2" xr3:uid="{AD9C35CE-02C1-4F8B-B84B-A27D1206DA38}" name="Jun-25" dataDxfId="31"/>
    <tableColumn id="3" xr3:uid="{4A96B9B3-84F6-4911-8387-B156B52BF4DE}" name="Sep-25" dataDxfId="30"/>
    <tableColumn id="4" xr3:uid="{27CB0C14-E400-4957-A635-2ED64F4ED4A6}" name="Dec-25" dataDxfId="29"/>
    <tableColumn id="5" xr3:uid="{2C450E88-D4D9-4EFB-8382-9A625BBA8A5D}" name="Mar-26" dataDxfId="28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7:G16" totalsRowShown="0" headerRowDxfId="27" dataDxfId="26">
  <autoFilter ref="B7:G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Particulars" dataDxfId="25"/>
    <tableColumn id="2" xr3:uid="{00000000-0010-0000-0000-000002000000}" name="Budget" dataDxfId="24" dataCellStyle="Comma"/>
    <tableColumn id="3" xr3:uid="{00000000-0010-0000-0000-000003000000}" name="Actuals" dataDxfId="23" dataCellStyle="Comma"/>
    <tableColumn id="4" xr3:uid="{00000000-0010-0000-0000-000004000000}" name="Variance" dataDxfId="22"/>
    <tableColumn id="5" xr3:uid="{00000000-0010-0000-0000-000005000000}" name="Var %" dataDxfId="21"/>
    <tableColumn id="6" xr3:uid="{00000000-0010-0000-0000-000006000000}" name="F / U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2133B2-B9E6-4142-BF5F-36CF7037B56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803587-5965-4e0c-a777-3d524e04343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3"/>
  <sheetViews>
    <sheetView showGridLines="0" topLeftCell="A25" zoomScale="83" zoomScaleNormal="83" workbookViewId="0">
      <selection activeCell="C41" sqref="C41"/>
    </sheetView>
  </sheetViews>
  <sheetFormatPr defaultColWidth="8.6328125" defaultRowHeight="14.5" x14ac:dyDescent="0.35"/>
  <cols>
    <col min="1" max="1" width="2.1796875" customWidth="1"/>
    <col min="2" max="2" width="27.26953125" style="1" customWidth="1"/>
    <col min="3" max="6" width="13.6328125" style="1" customWidth="1"/>
    <col min="7" max="7" width="41.81640625" style="1" customWidth="1"/>
    <col min="8" max="8" width="8.6328125" style="1"/>
  </cols>
  <sheetData>
    <row r="2" spans="2:7" ht="18" customHeight="1" x14ac:dyDescent="0.45">
      <c r="B2" s="80" t="s">
        <v>83</v>
      </c>
      <c r="F2" s="100"/>
    </row>
    <row r="3" spans="2:7" ht="16" customHeight="1" x14ac:dyDescent="0.35">
      <c r="B3" s="121" t="s">
        <v>150</v>
      </c>
      <c r="C3" s="121"/>
      <c r="D3" s="121"/>
      <c r="E3" s="121"/>
      <c r="F3" s="121"/>
      <c r="G3" s="121"/>
    </row>
    <row r="4" spans="2:7" ht="15" customHeight="1" x14ac:dyDescent="0.35"/>
    <row r="5" spans="2:7" ht="15" customHeight="1" x14ac:dyDescent="0.3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</row>
    <row r="6" spans="2:7" ht="18" customHeight="1" x14ac:dyDescent="0.35">
      <c r="B6" s="3" t="s">
        <v>6</v>
      </c>
      <c r="C6" s="4">
        <f>Budget!G19</f>
        <v>13191.150000000001</v>
      </c>
      <c r="D6" s="4">
        <f>Actuals!G6</f>
        <v>13193</v>
      </c>
      <c r="E6" s="5">
        <f>D6-C6</f>
        <v>1.8499999999985448</v>
      </c>
      <c r="F6" s="6">
        <f t="shared" ref="F6:F13" si="0">E6/C6</f>
        <v>1.4024554341346619E-4</v>
      </c>
      <c r="G6" s="7" t="str">
        <f t="shared" ref="G6:G13" si="1">IF(ROUND(F6,4)=0,"-",IF(F6&gt;0,"F","U"))</f>
        <v>F</v>
      </c>
    </row>
    <row r="7" spans="2:7" ht="15" customHeight="1" x14ac:dyDescent="0.35">
      <c r="B7" s="3" t="s">
        <v>7</v>
      </c>
      <c r="C7" s="4">
        <f>Budget!G20</f>
        <v>10759.014000000001</v>
      </c>
      <c r="D7" s="4">
        <f>Actuals!G7</f>
        <v>10742</v>
      </c>
      <c r="E7" s="5">
        <f>C7-D7</f>
        <v>17.014000000001033</v>
      </c>
      <c r="F7" s="6">
        <f t="shared" si="0"/>
        <v>1.5813716758804322E-3</v>
      </c>
      <c r="G7" s="7" t="str">
        <f t="shared" si="1"/>
        <v>F</v>
      </c>
    </row>
    <row r="8" spans="2:7" ht="15" customHeight="1" x14ac:dyDescent="0.35">
      <c r="B8" s="8" t="s">
        <v>8</v>
      </c>
      <c r="C8" s="9">
        <f>Budget!G21</f>
        <v>2432.1360000000004</v>
      </c>
      <c r="D8" s="9">
        <f>Actuals!G8</f>
        <v>2450</v>
      </c>
      <c r="E8" s="10">
        <f>D8-C8</f>
        <v>17.863999999999578</v>
      </c>
      <c r="F8" s="11">
        <f t="shared" si="0"/>
        <v>7.3449839976052226E-3</v>
      </c>
      <c r="G8" s="12" t="str">
        <f t="shared" si="1"/>
        <v>F</v>
      </c>
    </row>
    <row r="9" spans="2:7" ht="15" customHeight="1" x14ac:dyDescent="0.35">
      <c r="B9" s="3" t="s">
        <v>9</v>
      </c>
      <c r="C9" s="4">
        <f>Budget!G22</f>
        <v>578.54999999999995</v>
      </c>
      <c r="D9" s="4">
        <f>Actuals!G9</f>
        <v>585</v>
      </c>
      <c r="E9" s="5">
        <f>D9-C9</f>
        <v>6.4500000000000455</v>
      </c>
      <c r="F9" s="6">
        <f t="shared" si="0"/>
        <v>1.1148561057817035E-2</v>
      </c>
      <c r="G9" s="7" t="str">
        <f t="shared" si="1"/>
        <v>F</v>
      </c>
    </row>
    <row r="10" spans="2:7" ht="15" customHeight="1" x14ac:dyDescent="0.35">
      <c r="B10" s="3" t="s">
        <v>10</v>
      </c>
      <c r="C10" s="4">
        <f>Budget!G23</f>
        <v>163</v>
      </c>
      <c r="D10" s="4">
        <f>Actuals!G10</f>
        <v>146</v>
      </c>
      <c r="E10" s="5">
        <f>C10-D10</f>
        <v>17</v>
      </c>
      <c r="F10" s="6">
        <f t="shared" si="0"/>
        <v>0.10429447852760736</v>
      </c>
      <c r="G10" s="7" t="str">
        <f t="shared" si="1"/>
        <v>F</v>
      </c>
    </row>
    <row r="11" spans="2:7" ht="15" customHeight="1" x14ac:dyDescent="0.35">
      <c r="B11" s="3" t="s">
        <v>11</v>
      </c>
      <c r="C11" s="4">
        <f>Budget!G24</f>
        <v>446</v>
      </c>
      <c r="D11" s="4">
        <f>Actuals!G11</f>
        <v>468</v>
      </c>
      <c r="E11" s="5">
        <f>C11-D11</f>
        <v>-22</v>
      </c>
      <c r="F11" s="6">
        <f t="shared" si="0"/>
        <v>-4.9327354260089683E-2</v>
      </c>
      <c r="G11" s="7" t="str">
        <f t="shared" si="1"/>
        <v>U</v>
      </c>
    </row>
    <row r="12" spans="2:7" ht="15" customHeight="1" x14ac:dyDescent="0.35">
      <c r="B12" s="3" t="s">
        <v>12</v>
      </c>
      <c r="C12" s="4">
        <f>Budget!G25</f>
        <v>2401.6860000000006</v>
      </c>
      <c r="D12" s="4">
        <f>Actuals!G12</f>
        <v>2421</v>
      </c>
      <c r="E12" s="5">
        <f>D12-C12</f>
        <v>19.313999999999396</v>
      </c>
      <c r="F12" s="6">
        <f t="shared" si="0"/>
        <v>8.0418505999532795E-3</v>
      </c>
      <c r="G12" s="7" t="str">
        <f t="shared" si="1"/>
        <v>F</v>
      </c>
    </row>
    <row r="13" spans="2:7" ht="15" customHeight="1" x14ac:dyDescent="0.35">
      <c r="B13" s="8" t="s">
        <v>13</v>
      </c>
      <c r="C13" s="9">
        <f>Budget!G27</f>
        <v>1846.0572200000001</v>
      </c>
      <c r="D13" s="9">
        <f>Actuals!G14</f>
        <v>1869</v>
      </c>
      <c r="E13" s="10">
        <f>D13-C13</f>
        <v>22.942779999999857</v>
      </c>
      <c r="F13" s="11">
        <f t="shared" si="0"/>
        <v>1.2427989637287546E-2</v>
      </c>
      <c r="G13" s="12" t="str">
        <f t="shared" si="1"/>
        <v>F</v>
      </c>
    </row>
    <row r="14" spans="2:7" ht="15" customHeight="1" x14ac:dyDescent="0.35">
      <c r="B14" s="3" t="s">
        <v>14</v>
      </c>
      <c r="C14" s="13">
        <f>C8/C6</f>
        <v>0.1843763432301202</v>
      </c>
      <c r="D14" s="13">
        <f>D8/D6</f>
        <v>0.18570454028651559</v>
      </c>
      <c r="E14" s="14">
        <f>(D14-C14)*10000</f>
        <v>13.281970563953916</v>
      </c>
      <c r="F14" s="3"/>
      <c r="G14" s="7"/>
    </row>
    <row r="15" spans="2:7" ht="15" customHeight="1" x14ac:dyDescent="0.35"/>
    <row r="16" spans="2:7" ht="15" customHeight="1" x14ac:dyDescent="0.35">
      <c r="B16" s="2" t="s">
        <v>15</v>
      </c>
      <c r="C16" s="2" t="str">
        <f>Budget!C18</f>
        <v>Jun-25</v>
      </c>
      <c r="D16" s="2" t="str">
        <f>Budget!D18</f>
        <v>Sep-25</v>
      </c>
      <c r="E16" s="2" t="str">
        <f>Budget!E18</f>
        <v>Dec-25</v>
      </c>
      <c r="F16" s="2" t="str">
        <f>Budget!F18</f>
        <v>Mar-26</v>
      </c>
    </row>
    <row r="17" spans="2:7" ht="18" customHeight="1" x14ac:dyDescent="0.35">
      <c r="B17" s="3" t="s">
        <v>1</v>
      </c>
      <c r="C17" s="4">
        <f>Budget!C19</f>
        <v>3516.4500000000003</v>
      </c>
      <c r="D17" s="4">
        <f>Budget!D19</f>
        <v>3180.4500000000003</v>
      </c>
      <c r="E17" s="4">
        <f>Budget!E19</f>
        <v>3522.75</v>
      </c>
      <c r="F17" s="4">
        <f>Budget!F19</f>
        <v>2971.5</v>
      </c>
    </row>
    <row r="18" spans="2:7" ht="15" customHeight="1" x14ac:dyDescent="0.35">
      <c r="B18" s="3" t="s">
        <v>2</v>
      </c>
      <c r="C18" s="4">
        <f>Actuals!C6</f>
        <v>3405</v>
      </c>
      <c r="D18" s="4">
        <f>Actuals!D6</f>
        <v>3191</v>
      </c>
      <c r="E18" s="4">
        <f>Actuals!E6</f>
        <v>3559</v>
      </c>
      <c r="F18" s="4">
        <f>Actuals!F6</f>
        <v>3038</v>
      </c>
    </row>
    <row r="19" spans="2:7" ht="15" customHeight="1" x14ac:dyDescent="0.35">
      <c r="B19" s="3" t="s">
        <v>3</v>
      </c>
      <c r="C19" s="5">
        <f>C18-C17</f>
        <v>-111.45000000000027</v>
      </c>
      <c r="D19" s="5">
        <f>D18-D17</f>
        <v>10.549999999999727</v>
      </c>
      <c r="E19" s="5">
        <f>E18-E17</f>
        <v>36.25</v>
      </c>
      <c r="F19" s="5">
        <f>F18-F17</f>
        <v>66.5</v>
      </c>
    </row>
    <row r="20" spans="2:7" ht="15" customHeight="1" x14ac:dyDescent="0.35">
      <c r="B20" s="3" t="s">
        <v>4</v>
      </c>
      <c r="C20" s="6">
        <f>C19/C17</f>
        <v>-3.1693895832444731E-2</v>
      </c>
      <c r="D20" s="6">
        <f>D19/D17</f>
        <v>3.3171406561963643E-3</v>
      </c>
      <c r="E20" s="6">
        <f>E19/E17</f>
        <v>1.0290256191895537E-2</v>
      </c>
      <c r="F20" s="6">
        <f>F19/F17</f>
        <v>2.237926972909305E-2</v>
      </c>
    </row>
    <row r="21" spans="2:7" ht="15" customHeight="1" x14ac:dyDescent="0.35"/>
    <row r="22" spans="2:7" ht="15" customHeight="1" x14ac:dyDescent="0.35">
      <c r="B22" s="85" t="s">
        <v>112</v>
      </c>
    </row>
    <row r="23" spans="2:7" ht="31.5" customHeight="1" x14ac:dyDescent="0.35">
      <c r="B23" s="120" t="s">
        <v>151</v>
      </c>
      <c r="C23" s="118"/>
      <c r="D23" s="118"/>
      <c r="E23" s="118"/>
      <c r="F23" s="118"/>
      <c r="G23" s="118"/>
    </row>
    <row r="24" spans="2:7" ht="30" customHeight="1" x14ac:dyDescent="0.35">
      <c r="B24" s="118" t="s">
        <v>84</v>
      </c>
      <c r="C24" s="118"/>
      <c r="D24" s="118"/>
      <c r="E24" s="118"/>
      <c r="F24" s="118"/>
      <c r="G24" s="118"/>
    </row>
    <row r="25" spans="2:7" ht="17.5" customHeight="1" x14ac:dyDescent="0.35">
      <c r="B25" s="118" t="s">
        <v>85</v>
      </c>
      <c r="C25" s="118"/>
      <c r="D25" s="118"/>
      <c r="E25" s="118"/>
      <c r="F25" s="118"/>
      <c r="G25" s="118"/>
    </row>
    <row r="26" spans="2:7" ht="14.5" customHeight="1" x14ac:dyDescent="0.35">
      <c r="B26" s="118" t="s">
        <v>86</v>
      </c>
      <c r="C26" s="118"/>
      <c r="D26" s="118"/>
      <c r="E26" s="118"/>
      <c r="F26" s="118"/>
      <c r="G26" s="118"/>
    </row>
    <row r="27" spans="2:7" ht="18.5" customHeight="1" x14ac:dyDescent="0.35">
      <c r="B27" s="118" t="s">
        <v>139</v>
      </c>
      <c r="C27" s="118"/>
      <c r="D27" s="118"/>
      <c r="E27" s="118"/>
      <c r="F27" s="118"/>
      <c r="G27" s="118"/>
    </row>
    <row r="28" spans="2:7" ht="18" customHeight="1" x14ac:dyDescent="0.35">
      <c r="B28" s="118" t="s">
        <v>136</v>
      </c>
      <c r="C28" s="118"/>
      <c r="D28" s="118"/>
      <c r="E28" s="118"/>
      <c r="F28" s="118"/>
      <c r="G28" s="118"/>
    </row>
    <row r="29" spans="2:7" ht="21.5" customHeight="1" x14ac:dyDescent="0.35"/>
    <row r="30" spans="2:7" ht="15.5" x14ac:dyDescent="0.35">
      <c r="B30" s="85" t="s">
        <v>113</v>
      </c>
    </row>
    <row r="31" spans="2:7" ht="15" customHeight="1" x14ac:dyDescent="0.35">
      <c r="B31" s="119" t="s">
        <v>140</v>
      </c>
      <c r="C31" s="118"/>
      <c r="D31" s="118"/>
      <c r="E31" s="118"/>
      <c r="F31" s="118"/>
      <c r="G31" s="118"/>
    </row>
    <row r="32" spans="2:7" x14ac:dyDescent="0.35">
      <c r="B32" s="119" t="s">
        <v>141</v>
      </c>
      <c r="C32" s="118"/>
      <c r="D32" s="118"/>
      <c r="E32" s="118"/>
      <c r="F32" s="118"/>
      <c r="G32" s="118"/>
    </row>
    <row r="33" spans="2:7" x14ac:dyDescent="0.35">
      <c r="B33" s="119" t="s">
        <v>142</v>
      </c>
      <c r="C33" s="118"/>
      <c r="D33" s="118"/>
      <c r="E33" s="118"/>
      <c r="F33" s="118"/>
      <c r="G33" s="118"/>
    </row>
    <row r="34" spans="2:7" ht="16.5" customHeight="1" x14ac:dyDescent="0.35">
      <c r="B34" s="16"/>
      <c r="C34" s="16"/>
      <c r="D34" s="16"/>
      <c r="E34" s="16"/>
      <c r="F34" s="16"/>
      <c r="G34" s="16"/>
    </row>
    <row r="35" spans="2:7" ht="15.5" x14ac:dyDescent="0.35">
      <c r="B35" s="98" t="s">
        <v>89</v>
      </c>
      <c r="C35" s="17"/>
      <c r="D35" s="17"/>
      <c r="E35" s="17"/>
      <c r="F35" s="17"/>
      <c r="G35" s="17"/>
    </row>
    <row r="36" spans="2:7" x14ac:dyDescent="0.35">
      <c r="B36" s="117" t="s">
        <v>87</v>
      </c>
      <c r="C36" s="117"/>
      <c r="D36" s="117"/>
      <c r="E36" s="117"/>
      <c r="F36" s="117"/>
      <c r="G36" s="117"/>
    </row>
    <row r="37" spans="2:7" ht="14.5" customHeight="1" x14ac:dyDescent="0.35">
      <c r="B37" s="117" t="s">
        <v>109</v>
      </c>
      <c r="C37" s="117"/>
      <c r="D37" s="117"/>
      <c r="E37" s="117"/>
      <c r="F37" s="117"/>
      <c r="G37" s="117"/>
    </row>
    <row r="38" spans="2:7" ht="30" customHeight="1" x14ac:dyDescent="0.35">
      <c r="B38" s="117" t="s">
        <v>88</v>
      </c>
      <c r="C38" s="117"/>
      <c r="D38" s="117"/>
      <c r="E38" s="117"/>
      <c r="F38" s="117"/>
      <c r="G38" s="117"/>
    </row>
    <row r="39" spans="2:7" ht="30" customHeight="1" x14ac:dyDescent="0.35"/>
    <row r="40" spans="2:7" ht="15" customHeight="1" x14ac:dyDescent="0.35"/>
    <row r="41" spans="2:7" ht="15" customHeight="1" x14ac:dyDescent="0.35"/>
    <row r="42" spans="2:7" ht="15" customHeight="1" x14ac:dyDescent="0.35"/>
    <row r="43" spans="2:7" ht="15" customHeight="1" x14ac:dyDescent="0.35"/>
  </sheetData>
  <mergeCells count="13">
    <mergeCell ref="B23:G23"/>
    <mergeCell ref="B24:G24"/>
    <mergeCell ref="B25:G25"/>
    <mergeCell ref="B26:G26"/>
    <mergeCell ref="B3:G3"/>
    <mergeCell ref="B38:G38"/>
    <mergeCell ref="B36:G36"/>
    <mergeCell ref="B37:G37"/>
    <mergeCell ref="B27:G27"/>
    <mergeCell ref="B31:G31"/>
    <mergeCell ref="B32:G32"/>
    <mergeCell ref="B33:G33"/>
    <mergeCell ref="B28:G28"/>
  </mergeCells>
  <conditionalFormatting sqref="G6:G13">
    <cfRule type="containsText" dxfId="19" priority="2" operator="containsText" text="F">
      <formula>NOT(ISERROR(SEARCH("F",G6)))</formula>
    </cfRule>
    <cfRule type="containsText" dxfId="18" priority="3" operator="containsText" text="U">
      <formula>NOT(ISERROR(SEARCH("U",G6)))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E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45"/>
  <sheetViews>
    <sheetView showGridLines="0" topLeftCell="A25" zoomScale="74" zoomScaleNormal="79" workbookViewId="0">
      <selection activeCell="D47" sqref="D47"/>
    </sheetView>
  </sheetViews>
  <sheetFormatPr defaultColWidth="8.6328125" defaultRowHeight="14.5" x14ac:dyDescent="0.35"/>
  <cols>
    <col min="1" max="1" width="2.1796875" customWidth="1"/>
    <col min="2" max="2" width="20.453125" style="1" customWidth="1"/>
    <col min="3" max="6" width="10.81640625" style="1" customWidth="1"/>
    <col min="7" max="7" width="12.08984375" style="1" customWidth="1"/>
    <col min="8" max="8" width="8.7265625" style="1"/>
    <col min="9" max="9" width="20.453125" style="1" customWidth="1"/>
    <col min="10" max="13" width="10.81640625" style="1" customWidth="1"/>
    <col min="14" max="14" width="8.6328125" style="1"/>
  </cols>
  <sheetData>
    <row r="2" spans="2:7" ht="21.75" customHeight="1" x14ac:dyDescent="0.45">
      <c r="B2" s="80" t="s">
        <v>144</v>
      </c>
    </row>
    <row r="3" spans="2:7" ht="18" customHeight="1" x14ac:dyDescent="0.45">
      <c r="B3" s="18"/>
    </row>
    <row r="4" spans="2:7" ht="16.5" customHeight="1" x14ac:dyDescent="0.35">
      <c r="B4" s="122" t="s">
        <v>114</v>
      </c>
      <c r="C4" s="122"/>
      <c r="D4" s="122"/>
      <c r="E4" s="122"/>
      <c r="F4" s="122"/>
      <c r="G4" s="122"/>
    </row>
    <row r="5" spans="2:7" ht="28.5" customHeight="1" x14ac:dyDescent="0.35">
      <c r="B5" s="19" t="s">
        <v>16</v>
      </c>
      <c r="C5" s="19" t="s">
        <v>54</v>
      </c>
      <c r="D5" s="19" t="s">
        <v>55</v>
      </c>
      <c r="E5" s="19" t="s">
        <v>56</v>
      </c>
      <c r="F5" s="19" t="s">
        <v>57</v>
      </c>
      <c r="G5" s="19" t="s">
        <v>58</v>
      </c>
    </row>
    <row r="6" spans="2:7" x14ac:dyDescent="0.35">
      <c r="B6" s="20" t="s">
        <v>6</v>
      </c>
      <c r="C6" s="102" cm="1">
        <f t="array" ref="C6">_xlfn.XLOOKUP($B6,Data!$B$4:$B$13,_xlfn.XLOOKUP(C$5,Data!$C$3:$N$3,Data!$C$4:$N$13))</f>
        <v>3349</v>
      </c>
      <c r="D6" s="102" cm="1">
        <f t="array" ref="D6">_xlfn.XLOOKUP($B6,Data!$B$4:$B$13,_xlfn.XLOOKUP(D$5,Data!$C$3:$N$3,Data!$C$4:$N$13))</f>
        <v>3029</v>
      </c>
      <c r="E6" s="102" cm="1">
        <f t="array" ref="E6">_xlfn.XLOOKUP($B6,Data!$B$4:$B$13,_xlfn.XLOOKUP(E$5,Data!$C$3:$N$3,Data!$C$4:$N$13))</f>
        <v>3355</v>
      </c>
      <c r="F6" s="102" cm="1">
        <f t="array" ref="F6">_xlfn.XLOOKUP($B6,Data!$B$4:$B$13,_xlfn.XLOOKUP(F$5,Data!$C$3:$N$3,Data!$C$4:$N$13))</f>
        <v>2830</v>
      </c>
      <c r="G6" s="22">
        <f>SUM(C6:F6)</f>
        <v>12563</v>
      </c>
    </row>
    <row r="7" spans="2:7" x14ac:dyDescent="0.35">
      <c r="B7" s="20" t="s">
        <v>7</v>
      </c>
      <c r="C7" s="102" cm="1">
        <f t="array" ref="C7">_xlfn.XLOOKUP($B7,Data!$B$4:$B$13,_xlfn.XLOOKUP(C$5,Data!$C$3:$N$3,Data!$C$4:$N$13))</f>
        <v>2694</v>
      </c>
      <c r="D7" s="102" cm="1">
        <f t="array" ref="D7">_xlfn.XLOOKUP($B7,Data!$B$4:$B$13,_xlfn.XLOOKUP(D$5,Data!$C$3:$N$3,Data!$C$4:$N$13))</f>
        <v>2476</v>
      </c>
      <c r="E7" s="102" cm="1">
        <f t="array" ref="E7">_xlfn.XLOOKUP($B7,Data!$B$4:$B$13,_xlfn.XLOOKUP(E$5,Data!$C$3:$N$3,Data!$C$4:$N$13))</f>
        <v>2673</v>
      </c>
      <c r="F7" s="102" cm="1">
        <f t="array" ref="F7">_xlfn.XLOOKUP($B7,Data!$B$4:$B$13,_xlfn.XLOOKUP(F$5,Data!$C$3:$N$3,Data!$C$4:$N$13))</f>
        <v>2403</v>
      </c>
      <c r="G7" s="22">
        <f>SUM(C7:F7)</f>
        <v>10246</v>
      </c>
    </row>
    <row r="8" spans="2:7" x14ac:dyDescent="0.35">
      <c r="B8" s="23" t="s">
        <v>36</v>
      </c>
      <c r="C8" s="102" cm="1">
        <f t="array" ref="C8">_xlfn.XLOOKUP($B8,Data!$B$4:$B$13,_xlfn.XLOOKUP(C$5,Data!$C$3:$N$3,Data!$C$4:$N$13))</f>
        <v>655</v>
      </c>
      <c r="D8" s="102" cm="1">
        <f t="array" ref="D8">_xlfn.XLOOKUP($B8,Data!$B$4:$B$13,_xlfn.XLOOKUP(D$5,Data!$C$3:$N$3,Data!$C$4:$N$13))</f>
        <v>553</v>
      </c>
      <c r="E8" s="102" cm="1">
        <f t="array" ref="E8">_xlfn.XLOOKUP($B8,Data!$B$4:$B$13,_xlfn.XLOOKUP(E$5,Data!$C$3:$N$3,Data!$C$4:$N$13))</f>
        <v>682</v>
      </c>
      <c r="F8" s="102" cm="1">
        <f t="array" ref="F8">_xlfn.XLOOKUP($B8,Data!$B$4:$B$13,_xlfn.XLOOKUP(F$5,Data!$C$3:$N$3,Data!$C$4:$N$13))</f>
        <v>427</v>
      </c>
      <c r="G8" s="22">
        <f>G6-G7</f>
        <v>2317</v>
      </c>
    </row>
    <row r="9" spans="2:7" x14ac:dyDescent="0.35">
      <c r="B9" s="20" t="s">
        <v>37</v>
      </c>
      <c r="C9" s="102" cm="1">
        <f t="array" ref="C9">_xlfn.XLOOKUP($B9,Data!$B$4:$B$13,_xlfn.XLOOKUP(C$5,Data!$C$3:$N$3,Data!$C$4:$N$13))</f>
        <v>129</v>
      </c>
      <c r="D9" s="102" cm="1">
        <f t="array" ref="D9">_xlfn.XLOOKUP($B9,Data!$B$4:$B$13,_xlfn.XLOOKUP(D$5,Data!$C$3:$N$3,Data!$C$4:$N$13))</f>
        <v>152</v>
      </c>
      <c r="E9" s="102" cm="1">
        <f t="array" ref="E9">_xlfn.XLOOKUP($B9,Data!$B$4:$B$13,_xlfn.XLOOKUP(E$5,Data!$C$3:$N$3,Data!$C$4:$N$13))</f>
        <v>129</v>
      </c>
      <c r="F9" s="102" cm="1">
        <f t="array" ref="F9">_xlfn.XLOOKUP($B9,Data!$B$4:$B$13,_xlfn.XLOOKUP(F$5,Data!$C$3:$N$3,Data!$C$4:$N$13))</f>
        <v>141</v>
      </c>
      <c r="G9" s="22">
        <f>SUM(C9:F9)</f>
        <v>551</v>
      </c>
    </row>
    <row r="10" spans="2:7" x14ac:dyDescent="0.35">
      <c r="B10" s="20" t="s">
        <v>10</v>
      </c>
      <c r="C10" s="102" cm="1">
        <f t="array" ref="C10">_xlfn.XLOOKUP($B10,Data!$B$4:$B$13,_xlfn.XLOOKUP(C$5,Data!$C$3:$N$3,Data!$C$4:$N$13))</f>
        <v>33</v>
      </c>
      <c r="D10" s="102" cm="1">
        <f t="array" ref="D10">_xlfn.XLOOKUP($B10,Data!$B$4:$B$13,_xlfn.XLOOKUP(D$5,Data!$C$3:$N$3,Data!$C$4:$N$13))</f>
        <v>47</v>
      </c>
      <c r="E10" s="102" cm="1">
        <f t="array" ref="E10">_xlfn.XLOOKUP($B10,Data!$B$4:$B$13,_xlfn.XLOOKUP(E$5,Data!$C$3:$N$3,Data!$C$4:$N$13))</f>
        <v>44</v>
      </c>
      <c r="F10" s="102" cm="1">
        <f t="array" ref="F10">_xlfn.XLOOKUP($B10,Data!$B$4:$B$13,_xlfn.XLOOKUP(F$5,Data!$C$3:$N$3,Data!$C$4:$N$13))</f>
        <v>39</v>
      </c>
      <c r="G10" s="22">
        <f>SUM(C10:F10)</f>
        <v>163</v>
      </c>
    </row>
    <row r="11" spans="2:7" x14ac:dyDescent="0.35">
      <c r="B11" s="20" t="s">
        <v>11</v>
      </c>
      <c r="C11" s="102" cm="1">
        <f t="array" ref="C11">_xlfn.XLOOKUP($B11,Data!$B$4:$B$13,_xlfn.XLOOKUP(C$5,Data!$C$3:$N$3,Data!$C$4:$N$13))</f>
        <v>109</v>
      </c>
      <c r="D11" s="102" cm="1">
        <f t="array" ref="D11">_xlfn.XLOOKUP($B11,Data!$B$4:$B$13,_xlfn.XLOOKUP(D$5,Data!$C$3:$N$3,Data!$C$4:$N$13))</f>
        <v>111</v>
      </c>
      <c r="E11" s="102" cm="1">
        <f t="array" ref="E11">_xlfn.XLOOKUP($B11,Data!$B$4:$B$13,_xlfn.XLOOKUP(E$5,Data!$C$3:$N$3,Data!$C$4:$N$13))</f>
        <v>109</v>
      </c>
      <c r="F11" s="102" cm="1">
        <f t="array" ref="F11">_xlfn.XLOOKUP($B11,Data!$B$4:$B$13,_xlfn.XLOOKUP(F$5,Data!$C$3:$N$3,Data!$C$4:$N$13))</f>
        <v>117</v>
      </c>
      <c r="G11" s="22">
        <f>SUM(C11:F11)</f>
        <v>446</v>
      </c>
    </row>
    <row r="12" spans="2:7" x14ac:dyDescent="0.35">
      <c r="B12" s="23" t="s">
        <v>12</v>
      </c>
      <c r="C12" s="102" cm="1">
        <f t="array" ref="C12">_xlfn.XLOOKUP($B12,Data!$B$4:$B$13,_xlfn.XLOOKUP(C$5,Data!$C$3:$N$3,Data!$C$4:$N$13))</f>
        <v>642</v>
      </c>
      <c r="D12" s="102" cm="1">
        <f t="array" ref="D12">_xlfn.XLOOKUP($B12,Data!$B$4:$B$13,_xlfn.XLOOKUP(D$5,Data!$C$3:$N$3,Data!$C$4:$N$13))</f>
        <v>546</v>
      </c>
      <c r="E12" s="102" cm="1">
        <f t="array" ref="E12">_xlfn.XLOOKUP($B12,Data!$B$4:$B$13,_xlfn.XLOOKUP(E$5,Data!$C$3:$N$3,Data!$C$4:$N$13))</f>
        <v>658</v>
      </c>
      <c r="F12" s="102" cm="1">
        <f t="array" ref="F12">_xlfn.XLOOKUP($B12,Data!$B$4:$B$13,_xlfn.XLOOKUP(F$5,Data!$C$3:$N$3,Data!$C$4:$N$13))</f>
        <v>412</v>
      </c>
      <c r="G12" s="22">
        <f>G8+G9-G10-G11</f>
        <v>2259</v>
      </c>
    </row>
    <row r="13" spans="2:7" x14ac:dyDescent="0.35">
      <c r="B13" s="20" t="s">
        <v>38</v>
      </c>
      <c r="C13" s="103" cm="1">
        <f t="array" ref="C13">_xlfn.XLOOKUP($B13,Data!$B$4:$B$13,_xlfn.XLOOKUP(C$5,Data!$C$3:$N$3,Data!$C$4:$N$13))</f>
        <v>0.23</v>
      </c>
      <c r="D13" s="103" cm="1">
        <f t="array" ref="D13">_xlfn.XLOOKUP($B13,Data!$B$4:$B$13,_xlfn.XLOOKUP(D$5,Data!$C$3:$N$3,Data!$C$4:$N$13))</f>
        <v>0.24</v>
      </c>
      <c r="E13" s="103" cm="1">
        <f t="array" ref="E13">_xlfn.XLOOKUP($B13,Data!$B$4:$B$13,_xlfn.XLOOKUP(E$5,Data!$C$3:$N$3,Data!$C$4:$N$13))</f>
        <v>0.22</v>
      </c>
      <c r="F13" s="103" cm="1">
        <f t="array" ref="F13">_xlfn.XLOOKUP($B13,Data!$B$4:$B$13,_xlfn.XLOOKUP(F$5,Data!$C$3:$N$3,Data!$C$4:$N$13))</f>
        <v>0.24</v>
      </c>
      <c r="G13" s="25">
        <f>1-G14/G12</f>
        <v>0.2293050022133688</v>
      </c>
    </row>
    <row r="14" spans="2:7" x14ac:dyDescent="0.35">
      <c r="B14" s="23" t="s">
        <v>39</v>
      </c>
      <c r="C14" s="102" cm="1">
        <f t="array" ref="C14">_xlfn.XLOOKUP($B14,Data!$B$4:$B$13,_xlfn.XLOOKUP(C$5,Data!$C$3:$N$3,Data!$C$4:$N$13))</f>
        <v>494</v>
      </c>
      <c r="D14" s="102" cm="1">
        <f t="array" ref="D14">_xlfn.XLOOKUP($B14,Data!$B$4:$B$13,_xlfn.XLOOKUP(D$5,Data!$C$3:$N$3,Data!$C$4:$N$13))</f>
        <v>418</v>
      </c>
      <c r="E14" s="102" cm="1">
        <f t="array" ref="E14">_xlfn.XLOOKUP($B14,Data!$B$4:$B$13,_xlfn.XLOOKUP(E$5,Data!$C$3:$N$3,Data!$C$4:$N$13))</f>
        <v>516</v>
      </c>
      <c r="F14" s="102" cm="1">
        <f t="array" ref="F14">_xlfn.XLOOKUP($B14,Data!$B$4:$B$13,_xlfn.XLOOKUP(F$5,Data!$C$3:$N$3,Data!$C$4:$N$13))</f>
        <v>313</v>
      </c>
      <c r="G14" s="22">
        <f>SUM(C14:F14)</f>
        <v>1741</v>
      </c>
    </row>
    <row r="15" spans="2:7" x14ac:dyDescent="0.35">
      <c r="G15" s="26"/>
    </row>
    <row r="16" spans="2:7" x14ac:dyDescent="0.35">
      <c r="G16" s="26"/>
    </row>
    <row r="17" spans="2:13" x14ac:dyDescent="0.35">
      <c r="B17" s="122" t="s">
        <v>90</v>
      </c>
      <c r="C17" s="122"/>
      <c r="D17" s="122"/>
      <c r="E17" s="122"/>
      <c r="F17" s="122"/>
      <c r="G17" s="122"/>
      <c r="I17" s="122" t="s">
        <v>59</v>
      </c>
      <c r="J17" s="122"/>
      <c r="K17" s="122"/>
      <c r="L17" s="122"/>
      <c r="M17" s="122"/>
    </row>
    <row r="18" spans="2:13" ht="28.5" customHeight="1" x14ac:dyDescent="0.35">
      <c r="B18" s="19" t="s">
        <v>16</v>
      </c>
      <c r="C18" s="27" t="s">
        <v>44</v>
      </c>
      <c r="D18" s="27" t="s">
        <v>46</v>
      </c>
      <c r="E18" s="27" t="s">
        <v>49</v>
      </c>
      <c r="F18" s="27" t="s">
        <v>30</v>
      </c>
      <c r="G18" s="28" t="s">
        <v>60</v>
      </c>
      <c r="I18" s="19" t="s">
        <v>16</v>
      </c>
      <c r="J18" s="27" t="s">
        <v>44</v>
      </c>
      <c r="K18" s="27" t="s">
        <v>46</v>
      </c>
      <c r="L18" s="27" t="s">
        <v>49</v>
      </c>
      <c r="M18" s="27" t="s">
        <v>30</v>
      </c>
    </row>
    <row r="19" spans="2:13" x14ac:dyDescent="0.35">
      <c r="B19" s="20" t="s">
        <v>6</v>
      </c>
      <c r="C19" s="29">
        <f>C6*(1+$C$40)</f>
        <v>3516.4500000000003</v>
      </c>
      <c r="D19" s="29">
        <f>D6*(1+$C$40)</f>
        <v>3180.4500000000003</v>
      </c>
      <c r="E19" s="29">
        <f>E6*(1+$C$40)</f>
        <v>3522.75</v>
      </c>
      <c r="F19" s="29">
        <f>F6*(1+$C$40)</f>
        <v>2971.5</v>
      </c>
      <c r="G19" s="30">
        <f>SUM(C19:F19)</f>
        <v>13191.150000000001</v>
      </c>
      <c r="I19" s="20" t="str">
        <f t="shared" ref="I19:I27" si="0">B19</f>
        <v>Sales</v>
      </c>
      <c r="J19" s="29">
        <f>SUM($C19:C19)</f>
        <v>3516.4500000000003</v>
      </c>
      <c r="K19" s="29">
        <f>SUM($C19:D19)</f>
        <v>6696.9000000000005</v>
      </c>
      <c r="L19" s="29">
        <f>SUM($C19:E19)</f>
        <v>10219.650000000001</v>
      </c>
      <c r="M19" s="29">
        <f>SUM($C19:F19)</f>
        <v>13191.150000000001</v>
      </c>
    </row>
    <row r="20" spans="2:13" x14ac:dyDescent="0.35">
      <c r="B20" s="20" t="s">
        <v>7</v>
      </c>
      <c r="C20" s="29">
        <f>C37</f>
        <v>2828.7840000000001</v>
      </c>
      <c r="D20" s="29">
        <f>D37</f>
        <v>2599.8000000000002</v>
      </c>
      <c r="E20" s="29">
        <f>E37</f>
        <v>2806.9650000000001</v>
      </c>
      <c r="F20" s="29">
        <f>F37</f>
        <v>2523.4650000000001</v>
      </c>
      <c r="G20" s="30">
        <f>SUM(C20:F20)</f>
        <v>10759.014000000001</v>
      </c>
      <c r="I20" s="20" t="str">
        <f t="shared" si="0"/>
        <v>Expenses</v>
      </c>
      <c r="J20" s="29">
        <f>SUM($C20:C20)</f>
        <v>2828.7840000000001</v>
      </c>
      <c r="K20" s="29">
        <f>SUM($C20:D20)</f>
        <v>5428.5840000000007</v>
      </c>
      <c r="L20" s="29">
        <f>SUM($C20:E20)</f>
        <v>8235.5490000000009</v>
      </c>
      <c r="M20" s="29">
        <f>SUM($C20:F20)</f>
        <v>10759.014000000001</v>
      </c>
    </row>
    <row r="21" spans="2:13" x14ac:dyDescent="0.35">
      <c r="B21" s="23" t="s">
        <v>36</v>
      </c>
      <c r="C21" s="29">
        <f>C19-C20</f>
        <v>687.66600000000017</v>
      </c>
      <c r="D21" s="29">
        <f>D19-D20</f>
        <v>580.65000000000009</v>
      </c>
      <c r="E21" s="29">
        <f>E19-E20</f>
        <v>715.78499999999985</v>
      </c>
      <c r="F21" s="29">
        <f>F19-F20</f>
        <v>448.03499999999985</v>
      </c>
      <c r="G21" s="30">
        <f>G19-G20</f>
        <v>2432.1360000000004</v>
      </c>
      <c r="I21" s="23" t="str">
        <f t="shared" si="0"/>
        <v>Operating Profit</v>
      </c>
      <c r="J21" s="29">
        <f>SUM($C21:C21)</f>
        <v>687.66600000000017</v>
      </c>
      <c r="K21" s="29">
        <f>SUM($C21:D21)</f>
        <v>1268.3160000000003</v>
      </c>
      <c r="L21" s="29">
        <f>SUM($C21:E21)</f>
        <v>1984.1010000000001</v>
      </c>
      <c r="M21" s="29">
        <f>SUM($C21:F21)</f>
        <v>2432.136</v>
      </c>
    </row>
    <row r="22" spans="2:13" x14ac:dyDescent="0.35">
      <c r="B22" s="20" t="s">
        <v>37</v>
      </c>
      <c r="C22" s="29">
        <f>C9*(1+$C$41)</f>
        <v>135.45000000000002</v>
      </c>
      <c r="D22" s="29">
        <f>D9*(1+$C$41)</f>
        <v>159.6</v>
      </c>
      <c r="E22" s="29">
        <f>E9*(1+$C$41)</f>
        <v>135.45000000000002</v>
      </c>
      <c r="F22" s="29">
        <f>F9*(1+$C$41)</f>
        <v>148.05000000000001</v>
      </c>
      <c r="G22" s="30">
        <f>SUM(C22:F22)</f>
        <v>578.54999999999995</v>
      </c>
      <c r="I22" s="20" t="str">
        <f t="shared" si="0"/>
        <v>Other Income</v>
      </c>
      <c r="J22" s="29">
        <f>SUM($C22:C22)</f>
        <v>135.45000000000002</v>
      </c>
      <c r="K22" s="29">
        <f>SUM($C22:D22)</f>
        <v>295.05</v>
      </c>
      <c r="L22" s="29">
        <f>SUM($C22:E22)</f>
        <v>430.5</v>
      </c>
      <c r="M22" s="29">
        <f>SUM($C22:F22)</f>
        <v>578.54999999999995</v>
      </c>
    </row>
    <row r="23" spans="2:13" x14ac:dyDescent="0.35">
      <c r="B23" s="20" t="s">
        <v>10</v>
      </c>
      <c r="C23" s="29">
        <f t="shared" ref="C23:F24" si="1">C10</f>
        <v>33</v>
      </c>
      <c r="D23" s="29">
        <f t="shared" si="1"/>
        <v>47</v>
      </c>
      <c r="E23" s="29">
        <f t="shared" si="1"/>
        <v>44</v>
      </c>
      <c r="F23" s="29">
        <f t="shared" si="1"/>
        <v>39</v>
      </c>
      <c r="G23" s="30">
        <f>SUM(C23:F23)</f>
        <v>163</v>
      </c>
      <c r="I23" s="20" t="str">
        <f t="shared" si="0"/>
        <v>Interest</v>
      </c>
      <c r="J23" s="29">
        <f>SUM($C23:C23)</f>
        <v>33</v>
      </c>
      <c r="K23" s="29">
        <f>SUM($C23:D23)</f>
        <v>80</v>
      </c>
      <c r="L23" s="29">
        <f>SUM($C23:E23)</f>
        <v>124</v>
      </c>
      <c r="M23" s="29">
        <f>SUM($C23:F23)</f>
        <v>163</v>
      </c>
    </row>
    <row r="24" spans="2:13" x14ac:dyDescent="0.35">
      <c r="B24" s="20" t="s">
        <v>11</v>
      </c>
      <c r="C24" s="29">
        <f t="shared" si="1"/>
        <v>109</v>
      </c>
      <c r="D24" s="29">
        <f t="shared" si="1"/>
        <v>111</v>
      </c>
      <c r="E24" s="29">
        <f t="shared" si="1"/>
        <v>109</v>
      </c>
      <c r="F24" s="29">
        <f t="shared" si="1"/>
        <v>117</v>
      </c>
      <c r="G24" s="30">
        <f>SUM(C24:F24)</f>
        <v>446</v>
      </c>
      <c r="I24" s="20" t="str">
        <f t="shared" si="0"/>
        <v>Depreciation</v>
      </c>
      <c r="J24" s="29">
        <f>SUM($C24:C24)</f>
        <v>109</v>
      </c>
      <c r="K24" s="29">
        <f>SUM($C24:D24)</f>
        <v>220</v>
      </c>
      <c r="L24" s="29">
        <f>SUM($C24:E24)</f>
        <v>329</v>
      </c>
      <c r="M24" s="29">
        <f>SUM($C24:F24)</f>
        <v>446</v>
      </c>
    </row>
    <row r="25" spans="2:13" x14ac:dyDescent="0.35">
      <c r="B25" s="23" t="s">
        <v>12</v>
      </c>
      <c r="C25" s="29">
        <f>C21+C22-C23-C24</f>
        <v>681.11600000000021</v>
      </c>
      <c r="D25" s="29">
        <f>D21+D22-D23-D24</f>
        <v>582.25000000000011</v>
      </c>
      <c r="E25" s="29">
        <f>E21+E22-E23-E24</f>
        <v>698.2349999999999</v>
      </c>
      <c r="F25" s="29">
        <f>F21+F22-F23-F24</f>
        <v>440.08499999999981</v>
      </c>
      <c r="G25" s="30">
        <f>G21+G22-G23-G24</f>
        <v>2401.6860000000006</v>
      </c>
      <c r="I25" s="23" t="str">
        <f t="shared" si="0"/>
        <v>Profit before tax</v>
      </c>
      <c r="J25" s="29">
        <f>SUM($C25:C25)</f>
        <v>681.11600000000021</v>
      </c>
      <c r="K25" s="29">
        <f>SUM($C25:D25)</f>
        <v>1263.3660000000004</v>
      </c>
      <c r="L25" s="29">
        <f>SUM($C25:E25)</f>
        <v>1961.6010000000003</v>
      </c>
      <c r="M25" s="29">
        <f>SUM($C25:F25)</f>
        <v>2401.6860000000001</v>
      </c>
    </row>
    <row r="26" spans="2:13" x14ac:dyDescent="0.35">
      <c r="B26" s="20" t="s">
        <v>38</v>
      </c>
      <c r="C26" s="31">
        <f>C13</f>
        <v>0.23</v>
      </c>
      <c r="D26" s="31">
        <f>D13</f>
        <v>0.24</v>
      </c>
      <c r="E26" s="31">
        <f>E13</f>
        <v>0.22</v>
      </c>
      <c r="F26" s="31">
        <f>F13</f>
        <v>0.24</v>
      </c>
      <c r="G26" s="32">
        <f>1-G27/G25</f>
        <v>0.23134946866492967</v>
      </c>
      <c r="I26" s="20" t="str">
        <f t="shared" si="0"/>
        <v>Tax %</v>
      </c>
      <c r="J26" s="33">
        <f>1-J27/J25</f>
        <v>0.22999999999999998</v>
      </c>
      <c r="K26" s="33">
        <f>1-K27/K25</f>
        <v>0.23460871988006649</v>
      </c>
      <c r="L26" s="33">
        <f>1-L27/L25</f>
        <v>0.22940872277287783</v>
      </c>
      <c r="M26" s="33">
        <f>1-M27/M25</f>
        <v>0.23134946866492956</v>
      </c>
    </row>
    <row r="27" spans="2:13" x14ac:dyDescent="0.35">
      <c r="B27" s="34" t="s">
        <v>39</v>
      </c>
      <c r="C27" s="35">
        <f>C25*(1-C26)</f>
        <v>524.45932000000016</v>
      </c>
      <c r="D27" s="35">
        <f>D25*(1-D26)</f>
        <v>442.5100000000001</v>
      </c>
      <c r="E27" s="35">
        <f>E25*(1-E26)</f>
        <v>544.62329999999997</v>
      </c>
      <c r="F27" s="35">
        <f>F25*(1-F26)</f>
        <v>334.46459999999985</v>
      </c>
      <c r="G27" s="36">
        <f>SUM(C27:F27)</f>
        <v>1846.0572200000001</v>
      </c>
      <c r="I27" s="34" t="str">
        <f t="shared" si="0"/>
        <v>Net Profit</v>
      </c>
      <c r="J27" s="35">
        <f>SUM($C27:C27)</f>
        <v>524.45932000000016</v>
      </c>
      <c r="K27" s="35">
        <f>SUM($C27:D27)</f>
        <v>966.96932000000027</v>
      </c>
      <c r="L27" s="35">
        <f>SUM($C27:E27)</f>
        <v>1511.5926200000004</v>
      </c>
      <c r="M27" s="35">
        <f>SUM($C27:F27)</f>
        <v>1846.0572200000001</v>
      </c>
    </row>
    <row r="29" spans="2:13" ht="15.5" x14ac:dyDescent="0.35">
      <c r="B29" s="85" t="s">
        <v>92</v>
      </c>
      <c r="I29" s="15"/>
    </row>
    <row r="30" spans="2:13" ht="15.5" x14ac:dyDescent="0.35">
      <c r="B30" s="15"/>
      <c r="I30" s="15"/>
    </row>
    <row r="31" spans="2:13" x14ac:dyDescent="0.35">
      <c r="B31" s="122" t="s">
        <v>90</v>
      </c>
      <c r="C31" s="122"/>
      <c r="D31" s="122"/>
      <c r="E31" s="122"/>
      <c r="F31" s="122"/>
      <c r="G31" s="122"/>
      <c r="I31" s="122" t="s">
        <v>59</v>
      </c>
      <c r="J31" s="122"/>
      <c r="K31" s="122"/>
      <c r="L31" s="122"/>
      <c r="M31" s="122"/>
    </row>
    <row r="32" spans="2:13" x14ac:dyDescent="0.35">
      <c r="B32" s="37" t="s">
        <v>16</v>
      </c>
      <c r="C32" s="38" t="s">
        <v>44</v>
      </c>
      <c r="D32" s="38" t="s">
        <v>46</v>
      </c>
      <c r="E32" s="38" t="s">
        <v>49</v>
      </c>
      <c r="F32" s="38" t="s">
        <v>30</v>
      </c>
      <c r="G32" s="39" t="s">
        <v>60</v>
      </c>
      <c r="I32" s="37" t="s">
        <v>16</v>
      </c>
      <c r="J32" s="38" t="s">
        <v>44</v>
      </c>
      <c r="K32" s="38" t="s">
        <v>46</v>
      </c>
      <c r="L32" s="38" t="s">
        <v>49</v>
      </c>
      <c r="M32" s="39" t="s">
        <v>30</v>
      </c>
    </row>
    <row r="33" spans="2:13" x14ac:dyDescent="0.35">
      <c r="B33" s="40" t="s">
        <v>20</v>
      </c>
      <c r="C33" s="41">
        <f>C$19*(Data!G16/Data!G$4)</f>
        <v>1836.0825000000002</v>
      </c>
      <c r="D33" s="41">
        <f>D$19*(Data!H16/Data!H$4)</f>
        <v>1611.0150000000001</v>
      </c>
      <c r="E33" s="41">
        <f>E$19*(Data!I16/Data!I$4)</f>
        <v>1829.94</v>
      </c>
      <c r="F33" s="41">
        <f>F$19*(Data!J16/Data!J$4)</f>
        <v>1584.5550000000001</v>
      </c>
      <c r="G33" s="42">
        <f>SUM(C33:F33)</f>
        <v>6861.5925000000007</v>
      </c>
      <c r="I33" s="40" t="str">
        <f>B33</f>
        <v>Material cost</v>
      </c>
      <c r="J33" s="41">
        <f>SUM($C33:C33)</f>
        <v>1836.0825000000002</v>
      </c>
      <c r="K33" s="41">
        <f>SUM($C33:D33)</f>
        <v>3447.0975000000003</v>
      </c>
      <c r="L33" s="41">
        <f>SUM($C33:E33)</f>
        <v>5277.0375000000004</v>
      </c>
      <c r="M33" s="43">
        <f>SUM($C33:F33)</f>
        <v>6861.5925000000007</v>
      </c>
    </row>
    <row r="34" spans="2:13" x14ac:dyDescent="0.35">
      <c r="B34" s="40" t="s">
        <v>21</v>
      </c>
      <c r="C34" s="41">
        <f>C$19*(Data!G17/Data!G$4)</f>
        <v>339.06600000000003</v>
      </c>
      <c r="D34" s="41">
        <f>D$19*(Data!H17/Data!H$4)</f>
        <v>355.74000000000007</v>
      </c>
      <c r="E34" s="41">
        <f>E$19*(Data!I17/Data!I$4)</f>
        <v>351.96000000000004</v>
      </c>
      <c r="F34" s="41">
        <f>F$19*(Data!J17/Data!J$4)</f>
        <v>309.12</v>
      </c>
      <c r="G34" s="42">
        <f>SUM(C34:F34)</f>
        <v>1355.886</v>
      </c>
      <c r="I34" s="40" t="str">
        <f>B34</f>
        <v>Employee cost</v>
      </c>
      <c r="J34" s="41">
        <f>SUM($C34:C34)</f>
        <v>339.06600000000003</v>
      </c>
      <c r="K34" s="41">
        <f>SUM($C34:D34)</f>
        <v>694.80600000000004</v>
      </c>
      <c r="L34" s="41">
        <f>SUM($C34:E34)</f>
        <v>1046.7660000000001</v>
      </c>
      <c r="M34" s="43">
        <f>SUM($C34:F34)</f>
        <v>1355.886</v>
      </c>
    </row>
    <row r="35" spans="2:13" x14ac:dyDescent="0.35">
      <c r="B35" s="40" t="s">
        <v>22</v>
      </c>
      <c r="C35" s="41">
        <f>C$19*(Data!G18/Data!G$4)</f>
        <v>247.68449999999999</v>
      </c>
      <c r="D35" s="41">
        <f>D$19*(Data!H18/Data!H$4)</f>
        <v>236.88000000000002</v>
      </c>
      <c r="E35" s="41">
        <f>E$19*(Data!I18/Data!I$4)</f>
        <v>238.03499999999997</v>
      </c>
      <c r="F35" s="41">
        <f>F$19*(Data!J18/Data!J$4)</f>
        <v>185.22</v>
      </c>
      <c r="G35" s="42">
        <f>SUM(C35:F35)</f>
        <v>907.81950000000006</v>
      </c>
      <c r="I35" s="40" t="str">
        <f>B35</f>
        <v>Advertisement &amp; publicity</v>
      </c>
      <c r="J35" s="41">
        <f>SUM($C35:C35)</f>
        <v>247.68449999999999</v>
      </c>
      <c r="K35" s="41">
        <f>SUM($C35:D35)</f>
        <v>484.56450000000001</v>
      </c>
      <c r="L35" s="41">
        <f>SUM($C35:E35)</f>
        <v>722.59950000000003</v>
      </c>
      <c r="M35" s="43">
        <f>SUM($C35:F35)</f>
        <v>907.81950000000006</v>
      </c>
    </row>
    <row r="36" spans="2:13" x14ac:dyDescent="0.35">
      <c r="B36" s="40" t="s">
        <v>23</v>
      </c>
      <c r="C36" s="41">
        <f>C$19*(Data!G19/Data!G$4)</f>
        <v>405.95100000000008</v>
      </c>
      <c r="D36" s="41">
        <f>D$19*(Data!H19/Data!H$4)</f>
        <v>396.16500000000002</v>
      </c>
      <c r="E36" s="41">
        <f>E$19*(Data!I19/Data!I$4)</f>
        <v>387.03000000000003</v>
      </c>
      <c r="F36" s="41">
        <f>F$19*(Data!J19/Data!J$4)</f>
        <v>444.57</v>
      </c>
      <c r="G36" s="42">
        <f>SUM(C36:F36)</f>
        <v>1633.7160000000001</v>
      </c>
      <c r="I36" s="40" t="str">
        <f>B36</f>
        <v>Other expenses</v>
      </c>
      <c r="J36" s="41">
        <f>SUM($C36:C36)</f>
        <v>405.95100000000008</v>
      </c>
      <c r="K36" s="41">
        <f>SUM($C36:D36)</f>
        <v>802.1160000000001</v>
      </c>
      <c r="L36" s="41">
        <f>SUM($C36:E36)</f>
        <v>1189.1460000000002</v>
      </c>
      <c r="M36" s="43">
        <f>SUM($C36:F36)</f>
        <v>1633.7160000000001</v>
      </c>
    </row>
    <row r="37" spans="2:13" x14ac:dyDescent="0.35">
      <c r="B37" s="44" t="s">
        <v>67</v>
      </c>
      <c r="C37" s="45">
        <f>SUM(C33:C36)</f>
        <v>2828.7840000000001</v>
      </c>
      <c r="D37" s="45">
        <f>SUM(D33:D36)</f>
        <v>2599.8000000000002</v>
      </c>
      <c r="E37" s="45">
        <f>SUM(E33:E36)</f>
        <v>2806.9650000000001</v>
      </c>
      <c r="F37" s="45">
        <f>SUM(F33:F36)</f>
        <v>2523.4650000000001</v>
      </c>
      <c r="G37" s="46">
        <f>SUM(G33:G36)</f>
        <v>10759.014000000001</v>
      </c>
      <c r="I37" s="44" t="str">
        <f>B37</f>
        <v>Total expenses</v>
      </c>
      <c r="J37" s="45">
        <f>SUM(J33:J36)</f>
        <v>2828.7840000000001</v>
      </c>
      <c r="K37" s="45">
        <f>SUM(K33:K36)</f>
        <v>5428.5840000000007</v>
      </c>
      <c r="L37" s="45">
        <f>SUM(L33:L36)</f>
        <v>8235.5490000000009</v>
      </c>
      <c r="M37" s="46">
        <f>SUM(M33:M36)</f>
        <v>10759.014000000001</v>
      </c>
    </row>
    <row r="39" spans="2:13" x14ac:dyDescent="0.35">
      <c r="B39" s="99" t="s">
        <v>61</v>
      </c>
      <c r="K39" s="47"/>
    </row>
    <row r="40" spans="2:13" x14ac:dyDescent="0.35">
      <c r="B40" s="1" t="s">
        <v>62</v>
      </c>
      <c r="C40" s="48">
        <v>0.05</v>
      </c>
      <c r="D40" s="49" t="s">
        <v>152</v>
      </c>
    </row>
    <row r="41" spans="2:13" x14ac:dyDescent="0.35">
      <c r="B41" s="1" t="s">
        <v>63</v>
      </c>
      <c r="C41" s="48">
        <v>0.05</v>
      </c>
      <c r="D41" s="49" t="s">
        <v>64</v>
      </c>
    </row>
    <row r="42" spans="2:13" x14ac:dyDescent="0.35">
      <c r="B42" s="50" t="s">
        <v>65</v>
      </c>
      <c r="D42" s="49" t="s">
        <v>115</v>
      </c>
    </row>
    <row r="43" spans="2:13" x14ac:dyDescent="0.35">
      <c r="B43" s="50" t="s">
        <v>66</v>
      </c>
      <c r="D43" s="49" t="s">
        <v>153</v>
      </c>
    </row>
    <row r="44" spans="2:13" ht="29" x14ac:dyDescent="0.35">
      <c r="B44" s="101" t="s">
        <v>117</v>
      </c>
      <c r="C44" s="48">
        <v>0.03</v>
      </c>
      <c r="D44" s="49" t="s">
        <v>118</v>
      </c>
    </row>
    <row r="45" spans="2:13" ht="29" x14ac:dyDescent="0.35">
      <c r="B45" s="101" t="s">
        <v>119</v>
      </c>
      <c r="C45" s="88">
        <f>(1+C40)/(1+C44)-1</f>
        <v>1.9417475728155331E-2</v>
      </c>
      <c r="D45" s="49" t="s">
        <v>120</v>
      </c>
    </row>
  </sheetData>
  <mergeCells count="5">
    <mergeCell ref="B17:G17"/>
    <mergeCell ref="I17:M17"/>
    <mergeCell ref="B31:G31"/>
    <mergeCell ref="I31:M31"/>
    <mergeCell ref="B4:G4"/>
  </mergeCells>
  <pageMargins left="0.7" right="0.7" top="0.75" bottom="0.75" header="0.511811023622047" footer="0.511811023622047"/>
  <pageSetup paperSize="9" orientation="portrait" horizontalDpi="300" verticalDpi="300"/>
  <ignoredErrors>
    <ignoredError sqref="J18:M18 J26" calculatedColumn="1"/>
    <ignoredError sqref="C25:M25 C26:I26 G21 G8" formula="1"/>
    <ignoredError sqref="K26:M26" formula="1" calculatedColumn="1"/>
  </ignoredErrors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4"/>
  <sheetViews>
    <sheetView showGridLines="0" topLeftCell="A4" zoomScale="82" zoomScaleNormal="100" workbookViewId="0">
      <selection activeCell="C20" sqref="C20"/>
    </sheetView>
  </sheetViews>
  <sheetFormatPr defaultColWidth="8.6328125" defaultRowHeight="14.5" x14ac:dyDescent="0.35"/>
  <cols>
    <col min="1" max="1" width="2.1796875" customWidth="1"/>
    <col min="2" max="2" width="20.453125" style="1" customWidth="1"/>
    <col min="3" max="8" width="8.6328125" style="1"/>
    <col min="9" max="9" width="20.453125" style="1" customWidth="1"/>
    <col min="10" max="14" width="8.6328125" style="1"/>
  </cols>
  <sheetData>
    <row r="2" spans="2:13" ht="21.75" customHeight="1" x14ac:dyDescent="0.45">
      <c r="B2" s="80" t="s">
        <v>145</v>
      </c>
    </row>
    <row r="3" spans="2:13" ht="21.75" customHeight="1" x14ac:dyDescent="0.45">
      <c r="B3" s="18"/>
    </row>
    <row r="4" spans="2:13" x14ac:dyDescent="0.35">
      <c r="B4" s="123" t="s">
        <v>91</v>
      </c>
      <c r="C4" s="123"/>
      <c r="D4" s="123"/>
      <c r="E4" s="123"/>
      <c r="F4" s="123"/>
      <c r="G4" s="123"/>
      <c r="I4" s="123" t="s">
        <v>59</v>
      </c>
      <c r="J4" s="123"/>
      <c r="K4" s="123"/>
      <c r="L4" s="123"/>
      <c r="M4" s="123"/>
    </row>
    <row r="5" spans="2:13" ht="28.5" customHeight="1" x14ac:dyDescent="0.35">
      <c r="B5" s="19" t="s">
        <v>16</v>
      </c>
      <c r="C5" s="27" t="s">
        <v>44</v>
      </c>
      <c r="D5" s="27" t="s">
        <v>46</v>
      </c>
      <c r="E5" s="27" t="s">
        <v>49</v>
      </c>
      <c r="F5" s="27" t="s">
        <v>30</v>
      </c>
      <c r="G5" s="28" t="s">
        <v>60</v>
      </c>
      <c r="I5" s="19" t="s">
        <v>16</v>
      </c>
      <c r="J5" s="27" t="s">
        <v>44</v>
      </c>
      <c r="K5" s="27" t="s">
        <v>46</v>
      </c>
      <c r="L5" s="27" t="s">
        <v>49</v>
      </c>
      <c r="M5" s="27" t="s">
        <v>30</v>
      </c>
    </row>
    <row r="6" spans="2:13" x14ac:dyDescent="0.35">
      <c r="B6" s="20" t="s">
        <v>6</v>
      </c>
      <c r="C6" s="102">
        <f>INDEX(Data!$B$3:$N$13,MATCH($B6,Data!$B$3:$B$13,0),MATCH(C$5,Data!$B$3:$N$3,0))</f>
        <v>3405</v>
      </c>
      <c r="D6" s="102">
        <f>INDEX(Data!$B$3:$N$13,MATCH($B6,Data!$B$3:$B$13,0),MATCH(D$5,Data!$B$3:$N$3,0))</f>
        <v>3191</v>
      </c>
      <c r="E6" s="102">
        <f>INDEX(Data!$B$3:$N$13,MATCH($B6,Data!$B$3:$B$13,0),MATCH(E$5,Data!$B$3:$N$3,0))</f>
        <v>3559</v>
      </c>
      <c r="F6" s="102">
        <f>INDEX(Data!$B$3:$N$13,MATCH($B6,Data!$B$3:$B$13,0),MATCH(F$5,Data!$B$3:$N$3,0))</f>
        <v>3038</v>
      </c>
      <c r="G6" s="30">
        <f t="shared" ref="G6:G12" si="0">SUM(C6:F6)</f>
        <v>13193</v>
      </c>
      <c r="I6" s="20" t="str">
        <f t="shared" ref="I6:I14" si="1">B6</f>
        <v>Sales</v>
      </c>
      <c r="J6" s="29">
        <f>SUM($C6:C6)</f>
        <v>3405</v>
      </c>
      <c r="K6" s="29">
        <f>SUM($C6:D6)</f>
        <v>6596</v>
      </c>
      <c r="L6" s="29">
        <f>SUM($C6:E6)</f>
        <v>10155</v>
      </c>
      <c r="M6" s="29">
        <f>SUM($C6:F6)</f>
        <v>13193</v>
      </c>
    </row>
    <row r="7" spans="2:13" x14ac:dyDescent="0.35">
      <c r="B7" s="51" t="s">
        <v>7</v>
      </c>
      <c r="C7" s="104">
        <f>INDEX(Data!$B$3:$N$13,MATCH($B7,Data!$B$3:$B$13,0),MATCH(C$5,Data!$B$3:$N$3,0))</f>
        <v>2737</v>
      </c>
      <c r="D7" s="104">
        <f>INDEX(Data!$B$3:$N$13,MATCH($B7,Data!$B$3:$B$13,0),MATCH(D$5,Data!$B$3:$N$3,0))</f>
        <v>2603</v>
      </c>
      <c r="E7" s="104">
        <f>INDEX(Data!$B$3:$N$13,MATCH($B7,Data!$B$3:$B$13,0),MATCH(E$5,Data!$B$3:$N$3,0))</f>
        <v>2825</v>
      </c>
      <c r="F7" s="104">
        <f>INDEX(Data!$B$3:$N$13,MATCH($B7,Data!$B$3:$B$13,0),MATCH(F$5,Data!$B$3:$N$3,0))</f>
        <v>2577</v>
      </c>
      <c r="G7" s="53">
        <f t="shared" si="0"/>
        <v>10742</v>
      </c>
      <c r="I7" s="51" t="str">
        <f t="shared" si="1"/>
        <v>Expenses</v>
      </c>
      <c r="J7" s="52">
        <f>SUM($C7:C7)</f>
        <v>2737</v>
      </c>
      <c r="K7" s="52">
        <f>SUM($C7:D7)</f>
        <v>5340</v>
      </c>
      <c r="L7" s="52">
        <f>SUM($C7:E7)</f>
        <v>8165</v>
      </c>
      <c r="M7" s="52">
        <f>SUM($C7:F7)</f>
        <v>10742</v>
      </c>
    </row>
    <row r="8" spans="2:13" x14ac:dyDescent="0.35">
      <c r="B8" s="23" t="s">
        <v>36</v>
      </c>
      <c r="C8" s="102">
        <f>INDEX(Data!$B$3:$N$13,MATCH($B8,Data!$B$3:$B$13,0),MATCH(C$5,Data!$B$3:$N$3,0))</f>
        <v>667</v>
      </c>
      <c r="D8" s="102">
        <f>INDEX(Data!$B$3:$N$13,MATCH($B8,Data!$B$3:$B$13,0),MATCH(D$5,Data!$B$3:$N$3,0))</f>
        <v>588</v>
      </c>
      <c r="E8" s="102">
        <f>INDEX(Data!$B$3:$N$13,MATCH($B8,Data!$B$3:$B$13,0),MATCH(E$5,Data!$B$3:$N$3,0))</f>
        <v>734</v>
      </c>
      <c r="F8" s="102">
        <f>INDEX(Data!$B$3:$N$13,MATCH($B8,Data!$B$3:$B$13,0),MATCH(F$5,Data!$B$3:$N$3,0))</f>
        <v>461</v>
      </c>
      <c r="G8" s="30">
        <f t="shared" si="0"/>
        <v>2450</v>
      </c>
      <c r="I8" s="23" t="str">
        <f t="shared" si="1"/>
        <v>Operating Profit</v>
      </c>
      <c r="J8" s="29">
        <f>SUM($C8:C8)</f>
        <v>667</v>
      </c>
      <c r="K8" s="29">
        <f>SUM($C8:D8)</f>
        <v>1255</v>
      </c>
      <c r="L8" s="29">
        <f>SUM($C8:E8)</f>
        <v>1989</v>
      </c>
      <c r="M8" s="29">
        <f>SUM($C8:F8)</f>
        <v>2450</v>
      </c>
    </row>
    <row r="9" spans="2:13" x14ac:dyDescent="0.35">
      <c r="B9" s="51" t="s">
        <v>37</v>
      </c>
      <c r="C9" s="104">
        <f>INDEX(Data!$B$3:$N$13,MATCH($B9,Data!$B$3:$B$13,0),MATCH(C$5,Data!$B$3:$N$3,0))</f>
        <v>144</v>
      </c>
      <c r="D9" s="104">
        <f>INDEX(Data!$B$3:$N$13,MATCH($B9,Data!$B$3:$B$13,0),MATCH(D$5,Data!$B$3:$N$3,0))</f>
        <v>140</v>
      </c>
      <c r="E9" s="104">
        <f>INDEX(Data!$B$3:$N$13,MATCH($B9,Data!$B$3:$B$13,0),MATCH(E$5,Data!$B$3:$N$3,0))</f>
        <v>126</v>
      </c>
      <c r="F9" s="104">
        <f>INDEX(Data!$B$3:$N$13,MATCH($B9,Data!$B$3:$B$13,0),MATCH(F$5,Data!$B$3:$N$3,0))</f>
        <v>175</v>
      </c>
      <c r="G9" s="53">
        <f t="shared" si="0"/>
        <v>585</v>
      </c>
      <c r="I9" s="51" t="str">
        <f t="shared" si="1"/>
        <v>Other Income</v>
      </c>
      <c r="J9" s="52">
        <f>SUM($C9:C9)</f>
        <v>144</v>
      </c>
      <c r="K9" s="52">
        <f>SUM($C9:D9)</f>
        <v>284</v>
      </c>
      <c r="L9" s="52">
        <f>SUM($C9:E9)</f>
        <v>410</v>
      </c>
      <c r="M9" s="52">
        <f>SUM($C9:F9)</f>
        <v>585</v>
      </c>
    </row>
    <row r="10" spans="2:13" x14ac:dyDescent="0.35">
      <c r="B10" s="20" t="s">
        <v>10</v>
      </c>
      <c r="C10" s="102">
        <f>INDEX(Data!$B$3:$N$13,MATCH($B10,Data!$B$3:$B$13,0),MATCH(C$5,Data!$B$3:$N$3,0))</f>
        <v>35</v>
      </c>
      <c r="D10" s="102">
        <f>INDEX(Data!$B$3:$N$13,MATCH($B10,Data!$B$3:$B$13,0),MATCH(D$5,Data!$B$3:$N$3,0))</f>
        <v>40</v>
      </c>
      <c r="E10" s="102">
        <f>INDEX(Data!$B$3:$N$13,MATCH($B10,Data!$B$3:$B$13,0),MATCH(E$5,Data!$B$3:$N$3,0))</f>
        <v>31</v>
      </c>
      <c r="F10" s="102">
        <f>INDEX(Data!$B$3:$N$13,MATCH($B10,Data!$B$3:$B$13,0),MATCH(F$5,Data!$B$3:$N$3,0))</f>
        <v>40</v>
      </c>
      <c r="G10" s="30">
        <f t="shared" si="0"/>
        <v>146</v>
      </c>
      <c r="I10" s="20" t="str">
        <f t="shared" si="1"/>
        <v>Interest</v>
      </c>
      <c r="J10" s="29">
        <f>SUM($C10:C10)</f>
        <v>35</v>
      </c>
      <c r="K10" s="29">
        <f>SUM($C10:D10)</f>
        <v>75</v>
      </c>
      <c r="L10" s="29">
        <f>SUM($C10:E10)</f>
        <v>106</v>
      </c>
      <c r="M10" s="29">
        <f>SUM($C10:F10)</f>
        <v>146</v>
      </c>
    </row>
    <row r="11" spans="2:13" x14ac:dyDescent="0.35">
      <c r="B11" s="51" t="s">
        <v>11</v>
      </c>
      <c r="C11" s="104">
        <f>INDEX(Data!$B$3:$N$13,MATCH($B11,Data!$B$3:$B$13,0),MATCH(C$5,Data!$B$3:$N$3,0))</f>
        <v>114</v>
      </c>
      <c r="D11" s="104">
        <f>INDEX(Data!$B$3:$N$13,MATCH($B11,Data!$B$3:$B$13,0),MATCH(D$5,Data!$B$3:$N$3,0))</f>
        <v>115</v>
      </c>
      <c r="E11" s="104">
        <f>INDEX(Data!$B$3:$N$13,MATCH($B11,Data!$B$3:$B$13,0),MATCH(E$5,Data!$B$3:$N$3,0))</f>
        <v>117</v>
      </c>
      <c r="F11" s="104">
        <f>INDEX(Data!$B$3:$N$13,MATCH($B11,Data!$B$3:$B$13,0),MATCH(F$5,Data!$B$3:$N$3,0))</f>
        <v>122</v>
      </c>
      <c r="G11" s="53">
        <f t="shared" si="0"/>
        <v>468</v>
      </c>
      <c r="I11" s="51" t="str">
        <f t="shared" si="1"/>
        <v>Depreciation</v>
      </c>
      <c r="J11" s="52">
        <f>SUM($C11:C11)</f>
        <v>114</v>
      </c>
      <c r="K11" s="52">
        <f>SUM($C11:D11)</f>
        <v>229</v>
      </c>
      <c r="L11" s="52">
        <f>SUM($C11:E11)</f>
        <v>346</v>
      </c>
      <c r="M11" s="52">
        <f>SUM($C11:F11)</f>
        <v>468</v>
      </c>
    </row>
    <row r="12" spans="2:13" x14ac:dyDescent="0.35">
      <c r="B12" s="23" t="s">
        <v>12</v>
      </c>
      <c r="C12" s="102">
        <f>INDEX(Data!$B$3:$N$13,MATCH($B12,Data!$B$3:$B$13,0),MATCH(C$5,Data!$B$3:$N$3,0))</f>
        <v>663</v>
      </c>
      <c r="D12" s="102">
        <f>INDEX(Data!$B$3:$N$13,MATCH($B12,Data!$B$3:$B$13,0),MATCH(D$5,Data!$B$3:$N$3,0))</f>
        <v>573</v>
      </c>
      <c r="E12" s="102">
        <f>INDEX(Data!$B$3:$N$13,MATCH($B12,Data!$B$3:$B$13,0),MATCH(E$5,Data!$B$3:$N$3,0))</f>
        <v>711</v>
      </c>
      <c r="F12" s="102">
        <f>INDEX(Data!$B$3:$N$13,MATCH($B12,Data!$B$3:$B$13,0),MATCH(F$5,Data!$B$3:$N$3,0))</f>
        <v>474</v>
      </c>
      <c r="G12" s="30">
        <f t="shared" si="0"/>
        <v>2421</v>
      </c>
      <c r="I12" s="23" t="str">
        <f t="shared" si="1"/>
        <v>Profit before tax</v>
      </c>
      <c r="J12" s="29">
        <f>SUM($C12:C12)</f>
        <v>663</v>
      </c>
      <c r="K12" s="29">
        <f>SUM($C12:D12)</f>
        <v>1236</v>
      </c>
      <c r="L12" s="29">
        <f>SUM($C12:E12)</f>
        <v>1947</v>
      </c>
      <c r="M12" s="29">
        <f>SUM($C12:F12)</f>
        <v>2421</v>
      </c>
    </row>
    <row r="13" spans="2:13" x14ac:dyDescent="0.35">
      <c r="B13" s="51" t="s">
        <v>38</v>
      </c>
      <c r="C13" s="105">
        <f>INDEX(Data!$B$3:$N$13,MATCH($B13,Data!$B$3:$B$13,0),MATCH(C$5,Data!$B$3:$N$3,0))</f>
        <v>0.23</v>
      </c>
      <c r="D13" s="105">
        <f>INDEX(Data!$B$3:$N$13,MATCH($B13,Data!$B$3:$B$13,0),MATCH(D$5,Data!$B$3:$N$3,0))</f>
        <v>0.22</v>
      </c>
      <c r="E13" s="105">
        <f>INDEX(Data!$B$3:$N$13,MATCH($B13,Data!$B$3:$B$13,0),MATCH(E$5,Data!$B$3:$N$3,0))</f>
        <v>0.22</v>
      </c>
      <c r="F13" s="105">
        <f>INDEX(Data!$B$3:$N$13,MATCH($B13,Data!$B$3:$B$13,0),MATCH(F$5,Data!$B$3:$N$3,0))</f>
        <v>0.24</v>
      </c>
      <c r="G13" s="55">
        <f>1-G14/G12</f>
        <v>0.22800495662949194</v>
      </c>
      <c r="I13" s="51" t="str">
        <f t="shared" si="1"/>
        <v>Tax %</v>
      </c>
      <c r="J13" s="54">
        <f>1-J14/J12</f>
        <v>0.23378582202111609</v>
      </c>
      <c r="K13" s="54">
        <f>1-K14/K12</f>
        <v>0.22896440129449835</v>
      </c>
      <c r="L13" s="54">
        <f>1-L14/L12</f>
        <v>0.22598870056497178</v>
      </c>
      <c r="M13" s="54">
        <f>1-M14/M12</f>
        <v>0.22800495662949194</v>
      </c>
    </row>
    <row r="14" spans="2:13" x14ac:dyDescent="0.35">
      <c r="B14" s="23" t="s">
        <v>39</v>
      </c>
      <c r="C14" s="102">
        <f>INDEX(Data!$B$3:$N$13,MATCH($B14,Data!$B$3:$B$13,0),MATCH(C$5,Data!$B$3:$N$3,0))</f>
        <v>508</v>
      </c>
      <c r="D14" s="102">
        <f>INDEX(Data!$B$3:$N$13,MATCH($B14,Data!$B$3:$B$13,0),MATCH(D$5,Data!$B$3:$N$3,0))</f>
        <v>445</v>
      </c>
      <c r="E14" s="102">
        <f>INDEX(Data!$B$3:$N$13,MATCH($B14,Data!$B$3:$B$13,0),MATCH(E$5,Data!$B$3:$N$3,0))</f>
        <v>554</v>
      </c>
      <c r="F14" s="102">
        <f>INDEX(Data!$B$3:$N$13,MATCH($B14,Data!$B$3:$B$13,0),MATCH(F$5,Data!$B$3:$N$3,0))</f>
        <v>362</v>
      </c>
      <c r="G14" s="30">
        <f>SUM(C14:F14)</f>
        <v>1869</v>
      </c>
      <c r="I14" s="23" t="str">
        <f t="shared" si="1"/>
        <v>Net Profit</v>
      </c>
      <c r="J14" s="29">
        <f>SUM($C14:C14)</f>
        <v>508</v>
      </c>
      <c r="K14" s="29">
        <f>SUM($C14:D14)</f>
        <v>953</v>
      </c>
      <c r="L14" s="29">
        <f>SUM($C14:E14)</f>
        <v>1507</v>
      </c>
      <c r="M14" s="30">
        <f>SUM($C14:F14)</f>
        <v>1869</v>
      </c>
    </row>
    <row r="16" spans="2:13" ht="15.5" x14ac:dyDescent="0.35">
      <c r="B16" s="85" t="s">
        <v>92</v>
      </c>
      <c r="I16" s="15"/>
    </row>
    <row r="17" spans="2:13" ht="15.5" x14ac:dyDescent="0.35">
      <c r="B17" s="15"/>
      <c r="I17" s="15"/>
    </row>
    <row r="18" spans="2:13" x14ac:dyDescent="0.35">
      <c r="B18" s="123" t="s">
        <v>90</v>
      </c>
      <c r="C18" s="123"/>
      <c r="D18" s="123"/>
      <c r="E18" s="123"/>
      <c r="F18" s="123"/>
      <c r="G18" s="123"/>
      <c r="I18" s="123" t="s">
        <v>59</v>
      </c>
      <c r="J18" s="123"/>
      <c r="K18" s="123"/>
      <c r="L18" s="123"/>
      <c r="M18" s="123"/>
    </row>
    <row r="19" spans="2:13" ht="29" x14ac:dyDescent="0.35">
      <c r="B19" s="19" t="s">
        <v>16</v>
      </c>
      <c r="C19" s="27" t="str">
        <f>C5</f>
        <v>Jun-25</v>
      </c>
      <c r="D19" s="27" t="str">
        <f>D5</f>
        <v>Sep-25</v>
      </c>
      <c r="E19" s="27" t="str">
        <f>E5</f>
        <v>Dec-25</v>
      </c>
      <c r="F19" s="27" t="str">
        <f>F5</f>
        <v>Mar-26</v>
      </c>
      <c r="G19" s="28" t="s">
        <v>60</v>
      </c>
      <c r="I19" s="19" t="s">
        <v>16</v>
      </c>
      <c r="J19" s="27" t="str">
        <f>J5</f>
        <v>Jun-25</v>
      </c>
      <c r="K19" s="27" t="str">
        <f>K5</f>
        <v>Sep-25</v>
      </c>
      <c r="L19" s="27" t="str">
        <f>L5</f>
        <v>Dec-25</v>
      </c>
      <c r="M19" s="27" t="str">
        <f>M5</f>
        <v>Mar-26</v>
      </c>
    </row>
    <row r="20" spans="2:13" x14ac:dyDescent="0.35">
      <c r="B20" s="20" t="s">
        <v>20</v>
      </c>
      <c r="C20" s="102">
        <f>INDEX(Data!$B$1:$N$20,MATCH($B20,Data!$B$1:$B$20,0),MATCH(C$5,Data!$B$3:$N$3,0))</f>
        <v>1803.3</v>
      </c>
      <c r="D20" s="102">
        <f>INDEX(Data!$B$1:$N$20,MATCH($B20,Data!$B$1:$B$20,0),MATCH(D$5,Data!$B$3:$N$3,0))</f>
        <v>1613.5</v>
      </c>
      <c r="E20" s="102">
        <f>INDEX(Data!$B$1:$N$20,MATCH($B20,Data!$B$1:$B$20,0),MATCH(E$5,Data!$B$3:$N$3,0))</f>
        <v>1836.9</v>
      </c>
      <c r="F20" s="102">
        <f>INDEX(Data!$B$1:$N$20,MATCH($B20,Data!$B$1:$B$20,0),MATCH(F$5,Data!$B$3:$N$3,0))</f>
        <v>1570.1</v>
      </c>
      <c r="G20" s="30">
        <f>SUM(C20:F20)</f>
        <v>6823.8000000000011</v>
      </c>
      <c r="I20" s="20" t="str">
        <f>B20</f>
        <v>Material cost</v>
      </c>
      <c r="J20" s="29">
        <f>SUM($C20:C20)</f>
        <v>1803.3</v>
      </c>
      <c r="K20" s="29">
        <f>SUM($C20:D20)</f>
        <v>3416.8</v>
      </c>
      <c r="L20" s="29">
        <f>SUM($C20:E20)</f>
        <v>5253.7000000000007</v>
      </c>
      <c r="M20" s="29">
        <f>SUM($C20:F20)</f>
        <v>6823.8000000000011</v>
      </c>
    </row>
    <row r="21" spans="2:13" x14ac:dyDescent="0.35">
      <c r="B21" s="51" t="s">
        <v>21</v>
      </c>
      <c r="C21" s="104">
        <f>INDEX(Data!$B$1:$N$20,MATCH($B21,Data!$B$1:$B$20,0),MATCH(C$5,Data!$B$3:$N$3,0))</f>
        <v>337.8</v>
      </c>
      <c r="D21" s="104">
        <f>INDEX(Data!$B$1:$N$20,MATCH($B21,Data!$B$1:$B$20,0),MATCH(D$5,Data!$B$3:$N$3,0))</f>
        <v>347.9</v>
      </c>
      <c r="E21" s="104">
        <f>INDEX(Data!$B$1:$N$20,MATCH($B21,Data!$B$1:$B$20,0),MATCH(E$5,Data!$B$3:$N$3,0))</f>
        <v>351.8</v>
      </c>
      <c r="F21" s="104">
        <f>INDEX(Data!$B$1:$N$20,MATCH($B21,Data!$B$1:$B$20,0),MATCH(F$5,Data!$B$3:$N$3,0))</f>
        <v>338.2</v>
      </c>
      <c r="G21" s="53">
        <f>SUM(C21:F21)</f>
        <v>1375.7</v>
      </c>
      <c r="I21" s="51" t="str">
        <f>B21</f>
        <v>Employee cost</v>
      </c>
      <c r="J21" s="52">
        <f>SUM($C21:C21)</f>
        <v>337.8</v>
      </c>
      <c r="K21" s="52">
        <f>SUM($C21:D21)</f>
        <v>685.7</v>
      </c>
      <c r="L21" s="52">
        <f>SUM($C21:E21)</f>
        <v>1037.5</v>
      </c>
      <c r="M21" s="52">
        <f>SUM($C21:F21)</f>
        <v>1375.7</v>
      </c>
    </row>
    <row r="22" spans="2:13" x14ac:dyDescent="0.35">
      <c r="B22" s="20" t="s">
        <v>22</v>
      </c>
      <c r="C22" s="102">
        <f>INDEX(Data!$B$1:$N$20,MATCH($B22,Data!$B$1:$B$20,0),MATCH(C$5,Data!$B$3:$N$3,0))</f>
        <v>202</v>
      </c>
      <c r="D22" s="102">
        <f>INDEX(Data!$B$1:$N$20,MATCH($B22,Data!$B$1:$B$20,0),MATCH(D$5,Data!$B$3:$N$3,0))</f>
        <v>233.6</v>
      </c>
      <c r="E22" s="102">
        <f>INDEX(Data!$B$1:$N$20,MATCH($B22,Data!$B$1:$B$20,0),MATCH(E$5,Data!$B$3:$N$3,0))</f>
        <v>238</v>
      </c>
      <c r="F22" s="102">
        <f>INDEX(Data!$B$1:$N$20,MATCH($B22,Data!$B$1:$B$20,0),MATCH(F$5,Data!$B$3:$N$3,0))</f>
        <v>214.5</v>
      </c>
      <c r="G22" s="30">
        <f>SUM(C22:F22)</f>
        <v>888.1</v>
      </c>
      <c r="I22" s="20" t="str">
        <f>B22</f>
        <v>Advertisement &amp; publicity</v>
      </c>
      <c r="J22" s="29">
        <f>SUM($C22:C22)</f>
        <v>202</v>
      </c>
      <c r="K22" s="29">
        <f>SUM($C22:D22)</f>
        <v>435.6</v>
      </c>
      <c r="L22" s="29">
        <f>SUM($C22:E22)</f>
        <v>673.6</v>
      </c>
      <c r="M22" s="29">
        <f>SUM($C22:F22)</f>
        <v>888.1</v>
      </c>
    </row>
    <row r="23" spans="2:13" x14ac:dyDescent="0.35">
      <c r="B23" s="51" t="s">
        <v>23</v>
      </c>
      <c r="C23" s="104">
        <f>INDEX(Data!$B$1:$N$20,MATCH($B23,Data!$B$1:$B$20,0),MATCH(C$5,Data!$B$3:$N$3,0))</f>
        <v>393.8</v>
      </c>
      <c r="D23" s="104">
        <f>INDEX(Data!$B$1:$N$20,MATCH($B23,Data!$B$1:$B$20,0),MATCH(D$5,Data!$B$3:$N$3,0))</f>
        <v>408.3</v>
      </c>
      <c r="E23" s="104">
        <f>INDEX(Data!$B$1:$N$20,MATCH($B23,Data!$B$1:$B$20,0),MATCH(E$5,Data!$B$3:$N$3,0))</f>
        <v>397.8</v>
      </c>
      <c r="F23" s="104">
        <f>INDEX(Data!$B$1:$N$20,MATCH($B23,Data!$B$1:$B$20,0),MATCH(F$5,Data!$B$3:$N$3,0))</f>
        <v>453.4</v>
      </c>
      <c r="G23" s="53">
        <f>SUM(C23:F23)</f>
        <v>1653.3000000000002</v>
      </c>
      <c r="I23" s="51" t="str">
        <f>B23</f>
        <v>Other expenses</v>
      </c>
      <c r="J23" s="52">
        <f>SUM($C23:C23)</f>
        <v>393.8</v>
      </c>
      <c r="K23" s="52">
        <f>SUM($C23:D23)</f>
        <v>802.1</v>
      </c>
      <c r="L23" s="52">
        <f>SUM($C23:E23)</f>
        <v>1199.9000000000001</v>
      </c>
      <c r="M23" s="52">
        <f>SUM($C23:F23)</f>
        <v>1653.3000000000002</v>
      </c>
    </row>
    <row r="24" spans="2:13" x14ac:dyDescent="0.35">
      <c r="B24" s="20" t="s">
        <v>111</v>
      </c>
      <c r="C24" s="29">
        <f>SUM(C20:C23)</f>
        <v>2736.9</v>
      </c>
      <c r="D24" s="29">
        <f>SUM(D20:D23)</f>
        <v>2603.3000000000002</v>
      </c>
      <c r="E24" s="29">
        <f>SUM(E20:E23)</f>
        <v>2824.5000000000005</v>
      </c>
      <c r="F24" s="29">
        <f>SUM(F20:F23)</f>
        <v>2576.2000000000003</v>
      </c>
      <c r="G24" s="30">
        <f>SUM(G20:G23)</f>
        <v>10740.900000000001</v>
      </c>
      <c r="I24" s="20" t="str">
        <f>B24</f>
        <v xml:space="preserve">Total </v>
      </c>
      <c r="J24" s="29">
        <f>SUM(J20:J23)</f>
        <v>2736.9</v>
      </c>
      <c r="K24" s="29">
        <f>SUM(K20:K23)</f>
        <v>5340.2000000000007</v>
      </c>
      <c r="L24" s="29">
        <f>SUM(L20:L23)</f>
        <v>8164.7000000000007</v>
      </c>
      <c r="M24" s="30">
        <f>SUM(M20:M23)</f>
        <v>10740.900000000001</v>
      </c>
    </row>
  </sheetData>
  <mergeCells count="4">
    <mergeCell ref="B4:G4"/>
    <mergeCell ref="I4:M4"/>
    <mergeCell ref="B18:G18"/>
    <mergeCell ref="I18:M18"/>
  </mergeCells>
  <pageMargins left="0.7" right="0.7" top="0.75" bottom="0.75" header="0.511811023622047" footer="0.511811023622047"/>
  <pageSetup paperSize="9" orientation="portrait" horizontalDpi="300" verticalDpi="300"/>
  <ignoredErrors>
    <ignoredError sqref="G13 J13:M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38"/>
  <sheetViews>
    <sheetView showGridLines="0" zoomScale="66" zoomScaleNormal="71" workbookViewId="0">
      <selection activeCell="G40" sqref="G40"/>
    </sheetView>
  </sheetViews>
  <sheetFormatPr defaultColWidth="8.6328125" defaultRowHeight="14.5" x14ac:dyDescent="0.35"/>
  <cols>
    <col min="1" max="1" width="2.1796875" customWidth="1"/>
    <col min="2" max="2" width="34.7265625" style="1" customWidth="1"/>
    <col min="3" max="3" width="13.453125" style="1" customWidth="1"/>
    <col min="4" max="4" width="16.54296875" style="1" customWidth="1"/>
    <col min="5" max="5" width="20.54296875" style="1" customWidth="1"/>
    <col min="6" max="6" width="17.90625" style="1" customWidth="1"/>
    <col min="7" max="7" width="18.54296875" style="1" customWidth="1"/>
    <col min="8" max="8" width="10" style="1" customWidth="1"/>
    <col min="9" max="9" width="35" style="1" customWidth="1"/>
    <col min="10" max="10" width="13.6328125" style="1" customWidth="1"/>
    <col min="11" max="11" width="15.26953125" style="1" customWidth="1"/>
    <col min="12" max="12" width="13.54296875" style="1" customWidth="1"/>
    <col min="13" max="13" width="10.1796875" style="1" customWidth="1"/>
    <col min="14" max="14" width="12" style="1" customWidth="1"/>
    <col min="15" max="15" width="42" style="1" customWidth="1"/>
  </cols>
  <sheetData>
    <row r="2" spans="2:14" ht="19" customHeight="1" x14ac:dyDescent="0.45">
      <c r="B2" s="80" t="s">
        <v>155</v>
      </c>
    </row>
    <row r="3" spans="2:14" ht="21.75" customHeight="1" x14ac:dyDescent="0.45">
      <c r="B3" s="18"/>
    </row>
    <row r="4" spans="2:14" x14ac:dyDescent="0.35">
      <c r="B4" s="56" t="s">
        <v>30</v>
      </c>
      <c r="C4" s="49" t="s">
        <v>116</v>
      </c>
    </row>
    <row r="5" spans="2:14" x14ac:dyDescent="0.35">
      <c r="B5" s="57"/>
      <c r="C5" s="49"/>
    </row>
    <row r="6" spans="2:14" ht="15.5" x14ac:dyDescent="0.35">
      <c r="B6" s="85" t="s">
        <v>31</v>
      </c>
      <c r="I6" s="15" t="s">
        <v>110</v>
      </c>
    </row>
    <row r="7" spans="2:14" x14ac:dyDescent="0.35">
      <c r="B7" s="58" t="s">
        <v>32</v>
      </c>
      <c r="C7" s="58" t="s">
        <v>1</v>
      </c>
      <c r="D7" s="58" t="s">
        <v>33</v>
      </c>
      <c r="E7" s="58" t="s">
        <v>3</v>
      </c>
      <c r="F7" s="58" t="s">
        <v>4</v>
      </c>
      <c r="G7" s="58" t="s">
        <v>5</v>
      </c>
      <c r="H7" s="59"/>
      <c r="I7" s="58" t="s">
        <v>32</v>
      </c>
      <c r="J7" s="58" t="s">
        <v>34</v>
      </c>
      <c r="K7" s="58" t="s">
        <v>35</v>
      </c>
      <c r="L7" s="58" t="s">
        <v>3</v>
      </c>
      <c r="M7" s="58" t="s">
        <v>4</v>
      </c>
      <c r="N7" s="58" t="s">
        <v>5</v>
      </c>
    </row>
    <row r="8" spans="2:14" x14ac:dyDescent="0.35">
      <c r="B8" s="60" t="s">
        <v>6</v>
      </c>
      <c r="C8" s="61">
        <f>INDEX(Budget!$C$19:$F$27,MATCH($B8,Budget!$B$19:$B$27,0),MATCH($B$4,Budget!$C$18:$F$18,0))</f>
        <v>2971.5</v>
      </c>
      <c r="D8" s="61">
        <f>INDEX(Actuals!$C$6:$F$14,MATCH($B8,Actuals!$B$6:$B$14,0),MATCH($B$4,Actuals!$C$5:$F$5,0))</f>
        <v>3038</v>
      </c>
      <c r="E8" s="61">
        <f>D8-C8</f>
        <v>66.5</v>
      </c>
      <c r="F8" s="62">
        <f t="shared" ref="F8:F14" si="0">E8/C8</f>
        <v>2.237926972909305E-2</v>
      </c>
      <c r="G8" s="63" t="str">
        <f t="shared" ref="G8:G16" si="1">IF(ROUND(E8,4)=0,"-",IF(E8&gt;0,"F","U"))</f>
        <v>F</v>
      </c>
      <c r="H8" s="59"/>
      <c r="I8" s="60" t="str">
        <f t="shared" ref="I8:I16" si="2">$B8</f>
        <v>Sales</v>
      </c>
      <c r="J8" s="61">
        <f>INDEX(Budget!$J$19:$M$27,MATCH($I8,Budget!$I$19:$I$27,0),MATCH($B$4,Budget!$J$18:$M$18,0))</f>
        <v>13191.150000000001</v>
      </c>
      <c r="K8" s="61">
        <f>INDEX(Actuals!$J$6:$M$14,MATCH($I8,Actuals!$I$6:$I$14,0),MATCH($B$4,Actuals!$J$5:$M$5,0))</f>
        <v>13193</v>
      </c>
      <c r="L8" s="61">
        <f>K8-J8</f>
        <v>1.8499999999985448</v>
      </c>
      <c r="M8" s="62">
        <f t="shared" ref="M8:M14" si="3">L8/J8</f>
        <v>1.4024554341346619E-4</v>
      </c>
      <c r="N8" s="63" t="str">
        <f t="shared" ref="N8:N16" si="4">IF(ROUND(L8,4)=0,"-",IF(L8&gt;0,"F","U"))</f>
        <v>F</v>
      </c>
    </row>
    <row r="9" spans="2:14" x14ac:dyDescent="0.35">
      <c r="B9" s="60" t="s">
        <v>7</v>
      </c>
      <c r="C9" s="61">
        <f>INDEX(Budget!$C$19:$F$27,MATCH($B9,Budget!$B$19:$B$27,0),MATCH($B$4,Budget!$C$18:$F$18,0))</f>
        <v>2523.4650000000001</v>
      </c>
      <c r="D9" s="61">
        <f>INDEX(Actuals!$C$6:$F$14,MATCH($B9,Actuals!$B$6:$B$14,0),MATCH($B$4,Actuals!$C$5:$F$5,0))</f>
        <v>2577</v>
      </c>
      <c r="E9" s="61">
        <f>C9-D9</f>
        <v>-53.534999999999854</v>
      </c>
      <c r="F9" s="62">
        <f t="shared" si="0"/>
        <v>-2.1214877162948505E-2</v>
      </c>
      <c r="G9" s="63" t="str">
        <f t="shared" si="1"/>
        <v>U</v>
      </c>
      <c r="H9" s="59"/>
      <c r="I9" s="60" t="str">
        <f t="shared" si="2"/>
        <v>Expenses</v>
      </c>
      <c r="J9" s="61">
        <f>INDEX(Budget!$J$19:$M$27,MATCH($I9,Budget!$I$19:$I$27,0),MATCH($B$4,Budget!$J$18:$M$18,0))</f>
        <v>10759.014000000001</v>
      </c>
      <c r="K9" s="61">
        <f>INDEX(Actuals!$J$6:$M$14,MATCH($I9,Actuals!$I$6:$I$14,0),MATCH($B$4,Actuals!$J$5:$M$5,0))</f>
        <v>10742</v>
      </c>
      <c r="L9" s="61">
        <f>J9-K9</f>
        <v>17.014000000001033</v>
      </c>
      <c r="M9" s="62">
        <f t="shared" si="3"/>
        <v>1.5813716758804322E-3</v>
      </c>
      <c r="N9" s="63" t="str">
        <f t="shared" si="4"/>
        <v>F</v>
      </c>
    </row>
    <row r="10" spans="2:14" x14ac:dyDescent="0.35">
      <c r="B10" s="60" t="s">
        <v>36</v>
      </c>
      <c r="C10" s="61">
        <f>INDEX(Budget!$C$19:$F$27,MATCH($B10,Budget!$B$19:$B$27,0),MATCH($B$4,Budget!$C$18:$F$18,0))</f>
        <v>448.03499999999985</v>
      </c>
      <c r="D10" s="61">
        <f>INDEX(Actuals!$C$6:$F$14,MATCH($B10,Actuals!$B$6:$B$14,0),MATCH($B$4,Actuals!$C$5:$F$5,0))</f>
        <v>461</v>
      </c>
      <c r="E10" s="61">
        <f>D10-C10</f>
        <v>12.965000000000146</v>
      </c>
      <c r="F10" s="62">
        <f t="shared" si="0"/>
        <v>2.8937471402904126E-2</v>
      </c>
      <c r="G10" s="63" t="str">
        <f t="shared" si="1"/>
        <v>F</v>
      </c>
      <c r="H10" s="59"/>
      <c r="I10" s="60" t="str">
        <f t="shared" si="2"/>
        <v>Operating Profit</v>
      </c>
      <c r="J10" s="61">
        <f>INDEX(Budget!$J$19:$M$27,MATCH($I10,Budget!$I$19:$I$27,0),MATCH($B$4,Budget!$J$18:$M$18,0))</f>
        <v>2432.136</v>
      </c>
      <c r="K10" s="61">
        <f>INDEX(Actuals!$J$6:$M$14,MATCH($I10,Actuals!$I$6:$I$14,0),MATCH($B$4,Actuals!$J$5:$M$5,0))</f>
        <v>2450</v>
      </c>
      <c r="L10" s="61">
        <f>K10-J10</f>
        <v>17.864000000000033</v>
      </c>
      <c r="M10" s="62">
        <f t="shared" si="3"/>
        <v>7.3449839976054108E-3</v>
      </c>
      <c r="N10" s="63" t="str">
        <f t="shared" si="4"/>
        <v>F</v>
      </c>
    </row>
    <row r="11" spans="2:14" x14ac:dyDescent="0.35">
      <c r="B11" s="60" t="s">
        <v>37</v>
      </c>
      <c r="C11" s="61">
        <f>INDEX(Budget!$C$19:$F$27,MATCH($B11,Budget!$B$19:$B$27,0),MATCH($B$4,Budget!$C$18:$F$18,0))</f>
        <v>148.05000000000001</v>
      </c>
      <c r="D11" s="61">
        <f>INDEX(Actuals!$C$6:$F$14,MATCH($B11,Actuals!$B$6:$B$14,0),MATCH($B$4,Actuals!$C$5:$F$5,0))</f>
        <v>175</v>
      </c>
      <c r="E11" s="61">
        <f>D11-C11</f>
        <v>26.949999999999989</v>
      </c>
      <c r="F11" s="62">
        <f t="shared" si="0"/>
        <v>0.18203309692671385</v>
      </c>
      <c r="G11" s="63" t="str">
        <f t="shared" si="1"/>
        <v>F</v>
      </c>
      <c r="H11" s="59"/>
      <c r="I11" s="60" t="str">
        <f t="shared" si="2"/>
        <v>Other Income</v>
      </c>
      <c r="J11" s="61">
        <f>INDEX(Budget!$J$19:$M$27,MATCH($I11,Budget!$I$19:$I$27,0),MATCH($B$4,Budget!$J$18:$M$18,0))</f>
        <v>578.54999999999995</v>
      </c>
      <c r="K11" s="61">
        <f>INDEX(Actuals!$J$6:$M$14,MATCH($I11,Actuals!$I$6:$I$14,0),MATCH($B$4,Actuals!$J$5:$M$5,0))</f>
        <v>585</v>
      </c>
      <c r="L11" s="61">
        <f>K11-J11</f>
        <v>6.4500000000000455</v>
      </c>
      <c r="M11" s="62">
        <f t="shared" si="3"/>
        <v>1.1148561057817035E-2</v>
      </c>
      <c r="N11" s="63" t="str">
        <f t="shared" si="4"/>
        <v>F</v>
      </c>
    </row>
    <row r="12" spans="2:14" x14ac:dyDescent="0.35">
      <c r="B12" s="60" t="s">
        <v>10</v>
      </c>
      <c r="C12" s="61">
        <f>INDEX(Budget!$C$19:$F$27,MATCH($B12,Budget!$B$19:$B$27,0),MATCH($B$4,Budget!$C$18:$F$18,0))</f>
        <v>39</v>
      </c>
      <c r="D12" s="61">
        <f>INDEX(Actuals!$C$6:$F$14,MATCH($B12,Actuals!$B$6:$B$14,0),MATCH($B$4,Actuals!$C$5:$F$5,0))</f>
        <v>40</v>
      </c>
      <c r="E12" s="61">
        <f>C12-D12</f>
        <v>-1</v>
      </c>
      <c r="F12" s="62">
        <f t="shared" si="0"/>
        <v>-2.564102564102564E-2</v>
      </c>
      <c r="G12" s="63" t="str">
        <f t="shared" si="1"/>
        <v>U</v>
      </c>
      <c r="H12" s="59"/>
      <c r="I12" s="60" t="str">
        <f t="shared" si="2"/>
        <v>Interest</v>
      </c>
      <c r="J12" s="61">
        <f>INDEX(Budget!$J$19:$M$27,MATCH($I12,Budget!$I$19:$I$27,0),MATCH($B$4,Budget!$J$18:$M$18,0))</f>
        <v>163</v>
      </c>
      <c r="K12" s="61">
        <f>INDEX(Actuals!$J$6:$M$14,MATCH($I12,Actuals!$I$6:$I$14,0),MATCH($B$4,Actuals!$J$5:$M$5,0))</f>
        <v>146</v>
      </c>
      <c r="L12" s="61">
        <f>J12-K12</f>
        <v>17</v>
      </c>
      <c r="M12" s="62">
        <f t="shared" si="3"/>
        <v>0.10429447852760736</v>
      </c>
      <c r="N12" s="63" t="str">
        <f t="shared" si="4"/>
        <v>F</v>
      </c>
    </row>
    <row r="13" spans="2:14" x14ac:dyDescent="0.35">
      <c r="B13" s="60" t="s">
        <v>11</v>
      </c>
      <c r="C13" s="61">
        <f>INDEX(Budget!$C$19:$F$27,MATCH($B13,Budget!$B$19:$B$27,0),MATCH($B$4,Budget!$C$18:$F$18,0))</f>
        <v>117</v>
      </c>
      <c r="D13" s="61">
        <f>INDEX(Actuals!$C$6:$F$14,MATCH($B13,Actuals!$B$6:$B$14,0),MATCH($B$4,Actuals!$C$5:$F$5,0))</f>
        <v>122</v>
      </c>
      <c r="E13" s="61">
        <f>C13-D13</f>
        <v>-5</v>
      </c>
      <c r="F13" s="62">
        <f t="shared" si="0"/>
        <v>-4.2735042735042736E-2</v>
      </c>
      <c r="G13" s="63" t="str">
        <f t="shared" si="1"/>
        <v>U</v>
      </c>
      <c r="H13" s="59"/>
      <c r="I13" s="60" t="str">
        <f t="shared" si="2"/>
        <v>Depreciation</v>
      </c>
      <c r="J13" s="61">
        <f>INDEX(Budget!$J$19:$M$27,MATCH($I13,Budget!$I$19:$I$27,0),MATCH($B$4,Budget!$J$18:$M$18,0))</f>
        <v>446</v>
      </c>
      <c r="K13" s="61">
        <f>INDEX(Actuals!$J$6:$M$14,MATCH($I13,Actuals!$I$6:$I$14,0),MATCH($B$4,Actuals!$J$5:$M$5,0))</f>
        <v>468</v>
      </c>
      <c r="L13" s="61">
        <f>J13-K13</f>
        <v>-22</v>
      </c>
      <c r="M13" s="62">
        <f t="shared" si="3"/>
        <v>-4.9327354260089683E-2</v>
      </c>
      <c r="N13" s="63" t="str">
        <f t="shared" si="4"/>
        <v>U</v>
      </c>
    </row>
    <row r="14" spans="2:14" x14ac:dyDescent="0.35">
      <c r="B14" s="60" t="s">
        <v>12</v>
      </c>
      <c r="C14" s="61">
        <f>INDEX(Budget!$C$19:$F$27,MATCH($B14,Budget!$B$19:$B$27,0),MATCH($B$4,Budget!$C$18:$F$18,0))</f>
        <v>440.08499999999981</v>
      </c>
      <c r="D14" s="61">
        <f>INDEX(Actuals!$C$6:$F$14,MATCH($B14,Actuals!$B$6:$B$14,0),MATCH($B$4,Actuals!$C$5:$F$5,0))</f>
        <v>474</v>
      </c>
      <c r="E14" s="61">
        <f>D14-C14</f>
        <v>33.915000000000191</v>
      </c>
      <c r="F14" s="62">
        <f t="shared" si="0"/>
        <v>7.7064657963802921E-2</v>
      </c>
      <c r="G14" s="63" t="str">
        <f t="shared" si="1"/>
        <v>F</v>
      </c>
      <c r="H14" s="59"/>
      <c r="I14" s="60" t="str">
        <f t="shared" si="2"/>
        <v>Profit before tax</v>
      </c>
      <c r="J14" s="61">
        <f>INDEX(Budget!$J$19:$M$27,MATCH($I14,Budget!$I$19:$I$27,0),MATCH($B$4,Budget!$J$18:$M$18,0))</f>
        <v>2401.6860000000001</v>
      </c>
      <c r="K14" s="61">
        <f>INDEX(Actuals!$J$6:$M$14,MATCH($I14,Actuals!$I$6:$I$14,0),MATCH($B$4,Actuals!$J$5:$M$5,0))</f>
        <v>2421</v>
      </c>
      <c r="L14" s="61">
        <f>K14-J14</f>
        <v>19.313999999999851</v>
      </c>
      <c r="M14" s="62">
        <f t="shared" si="3"/>
        <v>8.0418505999534703E-3</v>
      </c>
      <c r="N14" s="63" t="str">
        <f t="shared" si="4"/>
        <v>F</v>
      </c>
    </row>
    <row r="15" spans="2:14" x14ac:dyDescent="0.35">
      <c r="B15" s="60" t="s">
        <v>38</v>
      </c>
      <c r="C15" s="64">
        <f>INDEX(Budget!$C$19:$F$27,MATCH($B15,Budget!$B$19:$B$27,0),MATCH($B$4,Budget!$C$18:$F$18,0))</f>
        <v>0.24</v>
      </c>
      <c r="D15" s="64">
        <f>INDEX(Actuals!$C$6:$F$14,MATCH($B15,Actuals!$B$6:$B$14,0),MATCH($B$4,Actuals!$C$5:$F$5,0))</f>
        <v>0.24</v>
      </c>
      <c r="E15" s="64">
        <f>C15-D15</f>
        <v>0</v>
      </c>
      <c r="F15" s="62"/>
      <c r="G15" s="63" t="str">
        <f t="shared" si="1"/>
        <v>-</v>
      </c>
      <c r="H15" s="59"/>
      <c r="I15" s="60" t="str">
        <f t="shared" si="2"/>
        <v>Tax %</v>
      </c>
      <c r="J15" s="64">
        <f>INDEX(Budget!$J$19:$M$27,MATCH($I15,Budget!$I$19:$I$27,0),MATCH($B$4,Budget!$J$18:$M$18,0))</f>
        <v>0.23134946866492956</v>
      </c>
      <c r="K15" s="64">
        <f>INDEX(Actuals!$J$6:$M$14,MATCH($I15,Actuals!$I$6:$I$14,0),MATCH($B$4,Actuals!$J$5:$M$5,0))</f>
        <v>0.22800495662949194</v>
      </c>
      <c r="L15" s="64">
        <f>J15-K15</f>
        <v>3.344512035437619E-3</v>
      </c>
      <c r="M15" s="62"/>
      <c r="N15" s="63" t="str">
        <f t="shared" si="4"/>
        <v>F</v>
      </c>
    </row>
    <row r="16" spans="2:14" x14ac:dyDescent="0.35">
      <c r="B16" s="60" t="s">
        <v>39</v>
      </c>
      <c r="C16" s="61">
        <f>INDEX(Budget!$C$19:$F$27,MATCH($B16,Budget!$B$19:$B$27,0),MATCH($B$4,Budget!$C$18:$F$18,0))</f>
        <v>334.46459999999985</v>
      </c>
      <c r="D16" s="65">
        <f>INDEX(Actuals!$C$6:$F$14,MATCH($B16,Actuals!$B$6:$B$14,0),MATCH($B$4,Actuals!$C$5:$F$5,0))</f>
        <v>362</v>
      </c>
      <c r="E16" s="65">
        <f>D16-C16</f>
        <v>27.535400000000152</v>
      </c>
      <c r="F16" s="62">
        <f>E16/C16</f>
        <v>8.2326799308507281E-2</v>
      </c>
      <c r="G16" s="63" t="str">
        <f t="shared" si="1"/>
        <v>F</v>
      </c>
      <c r="H16" s="59"/>
      <c r="I16" s="60" t="str">
        <f t="shared" si="2"/>
        <v>Net Profit</v>
      </c>
      <c r="J16" s="61">
        <f>INDEX(Budget!$J$19:$M$27,MATCH($I16,Budget!$I$19:$I$27,0),MATCH($B$4,Budget!$J$18:$M$18,0))</f>
        <v>1846.0572200000001</v>
      </c>
      <c r="K16" s="65">
        <f>INDEX(Actuals!$J$6:$M$14,MATCH($I16,Actuals!$I$6:$I$14,0),MATCH($B$4,Actuals!$J$5:$M$5,0))</f>
        <v>1869</v>
      </c>
      <c r="L16" s="61">
        <f>K16-J16</f>
        <v>22.942779999999857</v>
      </c>
      <c r="M16" s="62">
        <f>L16/J16</f>
        <v>1.2427989637287546E-2</v>
      </c>
      <c r="N16" s="63" t="str">
        <f t="shared" si="4"/>
        <v>F</v>
      </c>
    </row>
    <row r="18" spans="2:15" ht="15.5" x14ac:dyDescent="0.35">
      <c r="B18" s="85" t="s">
        <v>92</v>
      </c>
    </row>
    <row r="19" spans="2:15" x14ac:dyDescent="0.35">
      <c r="B19" s="58" t="s">
        <v>17</v>
      </c>
      <c r="C19" s="58" t="s">
        <v>1</v>
      </c>
      <c r="D19" s="58" t="s">
        <v>33</v>
      </c>
      <c r="E19" s="58" t="s">
        <v>3</v>
      </c>
      <c r="F19" s="58" t="s">
        <v>4</v>
      </c>
      <c r="G19" s="58" t="s">
        <v>5</v>
      </c>
      <c r="I19" s="58" t="s">
        <v>17</v>
      </c>
      <c r="J19" s="58" t="s">
        <v>34</v>
      </c>
      <c r="K19" s="58" t="s">
        <v>35</v>
      </c>
      <c r="L19" s="58" t="s">
        <v>3</v>
      </c>
      <c r="M19" s="58" t="s">
        <v>4</v>
      </c>
      <c r="N19" s="58" t="s">
        <v>5</v>
      </c>
    </row>
    <row r="20" spans="2:15" x14ac:dyDescent="0.35">
      <c r="B20" s="66" t="s">
        <v>20</v>
      </c>
      <c r="C20" s="41">
        <f>INDEX(Budget!$C$33:$F$36,MATCH($B20,Budget!$B$33:$B$36,0),MATCH($B$4,Budget!$C$18:$F$18,0))</f>
        <v>1584.5550000000001</v>
      </c>
      <c r="D20" s="41">
        <f>INDEX(Actuals!$C$20:$F$23,MATCH($B20,Actuals!$B$20:$B$23,0),MATCH($B$4,Actuals!$C$5:$F$5,0))</f>
        <v>1570.1</v>
      </c>
      <c r="E20" s="41">
        <f>C20-D20</f>
        <v>14.455000000000155</v>
      </c>
      <c r="F20" s="67">
        <f>IF(C20=0,0,E20/C20)</f>
        <v>9.1224350054117109E-3</v>
      </c>
      <c r="G20" s="68" t="str">
        <f>IF(ROUND(E20,4)=0,"-",IF(E20&gt;0,"F","U"))</f>
        <v>F</v>
      </c>
      <c r="I20" s="66" t="str">
        <f>$B20</f>
        <v>Material cost</v>
      </c>
      <c r="J20" s="41">
        <f>INDEX(Budget!$J$33:$M$36,MATCH($I20,Budget!$I$33:$I$36,0),MATCH($B$4,Budget!$J$18:$M$18,0))</f>
        <v>6861.5925000000007</v>
      </c>
      <c r="K20" s="41">
        <f>INDEX(Actuals!$J$20:$M$23,MATCH($I20,Actuals!$I$20:$I$23,0),MATCH($B$4,Actuals!$J$5:$M$5,0))</f>
        <v>6823.8000000000011</v>
      </c>
      <c r="L20" s="41">
        <f>J20-K20</f>
        <v>37.792499999999563</v>
      </c>
      <c r="M20" s="67">
        <f>IF(J20=0,0,L20/J20)</f>
        <v>5.5078321832722592E-3</v>
      </c>
      <c r="N20" s="68" t="str">
        <f>IF(ROUND(L20,4)=0,"-",IF(L20&gt;0,"F","U"))</f>
        <v>F</v>
      </c>
    </row>
    <row r="21" spans="2:15" x14ac:dyDescent="0.35">
      <c r="B21" s="66" t="s">
        <v>21</v>
      </c>
      <c r="C21" s="41">
        <f>INDEX(Budget!$C$33:$F$36,MATCH($B21,Budget!$B$33:$B$36,0),MATCH($B$4,Budget!$C$18:$F$18,0))</f>
        <v>309.12</v>
      </c>
      <c r="D21" s="41">
        <f>INDEX(Actuals!$C$20:$F$23,MATCH($B21,Actuals!$B$20:$B$23,0),MATCH($B$4,Actuals!$C$5:$F$5,0))</f>
        <v>338.2</v>
      </c>
      <c r="E21" s="41">
        <f>C21-D21</f>
        <v>-29.079999999999984</v>
      </c>
      <c r="F21" s="67">
        <f>IF(C21=0,0,E21/C21)</f>
        <v>-9.4073498964803257E-2</v>
      </c>
      <c r="G21" s="68" t="str">
        <f>IF(ROUND(E21,4)=0,"-",IF(E21&gt;0,"F","U"))</f>
        <v>U</v>
      </c>
      <c r="I21" s="66" t="str">
        <f>$B21</f>
        <v>Employee cost</v>
      </c>
      <c r="J21" s="41">
        <f>INDEX(Budget!$J$33:$M$36,MATCH($I21,Budget!$I$33:$I$36,0),MATCH($B$4,Budget!$J$18:$M$18,0))</f>
        <v>1355.886</v>
      </c>
      <c r="K21" s="41">
        <f>INDEX(Actuals!$J$20:$M$23,MATCH($I21,Actuals!$I$20:$I$23,0),MATCH($B$4,Actuals!$J$5:$M$5,0))</f>
        <v>1375.7</v>
      </c>
      <c r="L21" s="41">
        <f>J21-K21</f>
        <v>-19.814000000000078</v>
      </c>
      <c r="M21" s="67">
        <f>IF(J21=0,0,L21/J21)</f>
        <v>-1.4613322948979544E-2</v>
      </c>
      <c r="N21" s="68" t="str">
        <f>IF(ROUND(L21,4)=0,"-",IF(L21&gt;0,"F","U"))</f>
        <v>U</v>
      </c>
    </row>
    <row r="22" spans="2:15" x14ac:dyDescent="0.35">
      <c r="B22" s="66" t="s">
        <v>22</v>
      </c>
      <c r="C22" s="41">
        <f>INDEX(Budget!$C$33:$F$36,MATCH($B22,Budget!$B$33:$B$36,0),MATCH($B$4,Budget!$C$18:$F$18,0))</f>
        <v>185.22</v>
      </c>
      <c r="D22" s="41">
        <f>INDEX(Actuals!$C$20:$F$23,MATCH($B22,Actuals!$B$20:$B$23,0),MATCH($B$4,Actuals!$C$5:$F$5,0))</f>
        <v>214.5</v>
      </c>
      <c r="E22" s="41">
        <f>C22-D22</f>
        <v>-29.28</v>
      </c>
      <c r="F22" s="67">
        <f>IF(C22=0,0,E22/C22)</f>
        <v>-0.15808228053126014</v>
      </c>
      <c r="G22" s="68" t="str">
        <f>IF(ROUND(E22,4)=0,"-",IF(E22&gt;0,"F","U"))</f>
        <v>U</v>
      </c>
      <c r="I22" s="66" t="str">
        <f>$B22</f>
        <v>Advertisement &amp; publicity</v>
      </c>
      <c r="J22" s="41">
        <f>INDEX(Budget!$J$33:$M$36,MATCH($I22,Budget!$I$33:$I$36,0),MATCH($B$4,Budget!$J$18:$M$18,0))</f>
        <v>907.81950000000006</v>
      </c>
      <c r="K22" s="41">
        <f>INDEX(Actuals!$J$20:$M$23,MATCH($I22,Actuals!$I$20:$I$23,0),MATCH($B$4,Actuals!$J$5:$M$5,0))</f>
        <v>888.1</v>
      </c>
      <c r="L22" s="41">
        <f>J22-K22</f>
        <v>19.719500000000039</v>
      </c>
      <c r="M22" s="67">
        <f>IF(J22=0,0,L22/J22)</f>
        <v>2.1721829064037551E-2</v>
      </c>
      <c r="N22" s="68" t="str">
        <f>IF(ROUND(L22,4)=0,"-",IF(L22&gt;0,"F","U"))</f>
        <v>F</v>
      </c>
    </row>
    <row r="23" spans="2:15" x14ac:dyDescent="0.35">
      <c r="B23" s="66" t="s">
        <v>23</v>
      </c>
      <c r="C23" s="41">
        <f>INDEX(Budget!$C$33:$F$36,MATCH($B23,Budget!$B$33:$B$36,0),MATCH($B$4,Budget!$C$18:$F$18,0))</f>
        <v>444.57</v>
      </c>
      <c r="D23" s="41">
        <f>INDEX(Actuals!$C$20:$F$23,MATCH($B23,Actuals!$B$20:$B$23,0),MATCH($B$4,Actuals!$C$5:$F$5,0))</f>
        <v>453.4</v>
      </c>
      <c r="E23" s="41">
        <f>C23-D23</f>
        <v>-8.8299999999999841</v>
      </c>
      <c r="F23" s="67">
        <f>IF(C23=0,0,E23/C23)</f>
        <v>-1.9861889016352843E-2</v>
      </c>
      <c r="G23" s="68" t="str">
        <f>IF(ROUND(E23,4)=0,"-",IF(E23&gt;0,"F","U"))</f>
        <v>U</v>
      </c>
      <c r="I23" s="66" t="str">
        <f>$B23</f>
        <v>Other expenses</v>
      </c>
      <c r="J23" s="41">
        <f>INDEX(Budget!$J$33:$M$36,MATCH($I23,Budget!$I$33:$I$36,0),MATCH($B$4,Budget!$J$18:$M$18,0))</f>
        <v>1633.7160000000001</v>
      </c>
      <c r="K23" s="41">
        <f>INDEX(Actuals!$J$20:$M$23,MATCH($I23,Actuals!$I$20:$I$23,0),MATCH($B$4,Actuals!$J$5:$M$5,0))</f>
        <v>1653.3000000000002</v>
      </c>
      <c r="L23" s="41">
        <f>J23-K23</f>
        <v>-19.58400000000006</v>
      </c>
      <c r="M23" s="67">
        <f>IF(J23=0,0,L23/J23)</f>
        <v>-1.1987395606090691E-2</v>
      </c>
      <c r="N23" s="68" t="str">
        <f>IF(ROUND(L23,4)=0,"-",IF(L23&gt;0,"F","U"))</f>
        <v>U</v>
      </c>
    </row>
    <row r="25" spans="2:15" ht="15.5" x14ac:dyDescent="0.35">
      <c r="B25" s="85" t="s">
        <v>93</v>
      </c>
    </row>
    <row r="26" spans="2:15" ht="19.5" customHeight="1" x14ac:dyDescent="0.35">
      <c r="B26" s="58" t="s">
        <v>40</v>
      </c>
      <c r="C26" s="58" t="s">
        <v>41</v>
      </c>
      <c r="D26" s="58" t="s">
        <v>3</v>
      </c>
      <c r="E26" s="58" t="s">
        <v>5</v>
      </c>
      <c r="F26" s="125" t="s">
        <v>42</v>
      </c>
      <c r="G26" s="125"/>
      <c r="H26" s="125"/>
      <c r="I26" s="125"/>
      <c r="J26" s="125"/>
      <c r="K26" s="125"/>
      <c r="L26" s="125"/>
      <c r="M26" s="125"/>
      <c r="N26" s="125"/>
      <c r="O26" s="58" t="s">
        <v>43</v>
      </c>
    </row>
    <row r="27" spans="2:15" ht="27" customHeight="1" x14ac:dyDescent="0.35">
      <c r="B27" s="69" t="s">
        <v>44</v>
      </c>
      <c r="C27" s="70" t="s">
        <v>6</v>
      </c>
      <c r="D27" s="71">
        <f>IF(OR(C27="Expenses",C27="Interest",C27="Depreciation"),1,-1)*(INDEX(Budget!$C$19:$F$27,MATCH(C27,Budget!$B$19:$B$27,0),MATCH(B27,Budget!$C$18:$F$18,0))-INDEX(Actuals!$C$6:$F$14,MATCH(C27,Actuals!$B$6:$B$14,0),MATCH(B27,Actuals!$C$5:$F$5,0)))</f>
        <v>-111.45000000000027</v>
      </c>
      <c r="E27" s="72" t="str">
        <f t="shared" ref="E27:E38" si="5">IF(ROUND(D27,4)=0,"-",IF(D27&gt;0,"F","U"))</f>
        <v>U</v>
      </c>
      <c r="F27" s="124" t="s">
        <v>95</v>
      </c>
      <c r="G27" s="124"/>
      <c r="H27" s="124"/>
      <c r="I27" s="124"/>
      <c r="J27" s="124"/>
      <c r="K27" s="124"/>
      <c r="L27" s="124"/>
      <c r="M27" s="124"/>
      <c r="N27" s="124"/>
      <c r="O27" s="73" t="s">
        <v>107</v>
      </c>
    </row>
    <row r="28" spans="2:15" ht="27" customHeight="1" x14ac:dyDescent="0.35">
      <c r="B28" s="69" t="s">
        <v>44</v>
      </c>
      <c r="C28" s="70" t="s">
        <v>7</v>
      </c>
      <c r="D28" s="71">
        <f>IF(OR(C28="Expenses",C28="Interest",C28="Depreciation"),1,-1)*(INDEX(Budget!$C$19:$F$27,MATCH(C28,Budget!$B$19:$B$27,0),MATCH(B28,Budget!$C$18:$F$18,0))-INDEX(Actuals!$C$6:$F$14,MATCH(C28,Actuals!$B$6:$B$14,0),MATCH(B28,Actuals!$C$5:$F$5,0)))</f>
        <v>91.784000000000106</v>
      </c>
      <c r="E28" s="72" t="str">
        <f t="shared" si="5"/>
        <v>F</v>
      </c>
      <c r="F28" s="124" t="s">
        <v>96</v>
      </c>
      <c r="G28" s="124"/>
      <c r="H28" s="124"/>
      <c r="I28" s="124"/>
      <c r="J28" s="124"/>
      <c r="K28" s="124"/>
      <c r="L28" s="124"/>
      <c r="M28" s="124"/>
      <c r="N28" s="124"/>
      <c r="O28" s="73" t="s">
        <v>94</v>
      </c>
    </row>
    <row r="29" spans="2:15" ht="27" customHeight="1" x14ac:dyDescent="0.35">
      <c r="B29" s="69" t="s">
        <v>44</v>
      </c>
      <c r="C29" s="70" t="s">
        <v>36</v>
      </c>
      <c r="D29" s="71">
        <f>IF(OR(C29="Expenses",C29="Interest",C29="Depreciation"),1,-1)*(INDEX(Budget!$C$19:$F$27,MATCH(C29,Budget!$B$19:$B$27,0),MATCH(B29,Budget!$C$18:$F$18,0))-INDEX(Actuals!$C$6:$F$14,MATCH(C29,Actuals!$B$6:$B$14,0),MATCH(B29,Actuals!$C$5:$F$5,0)))</f>
        <v>-20.666000000000167</v>
      </c>
      <c r="E29" s="72" t="str">
        <f t="shared" si="5"/>
        <v>U</v>
      </c>
      <c r="F29" s="124" t="s">
        <v>97</v>
      </c>
      <c r="G29" s="124"/>
      <c r="H29" s="124"/>
      <c r="I29" s="124"/>
      <c r="J29" s="124"/>
      <c r="K29" s="124"/>
      <c r="L29" s="124"/>
      <c r="M29" s="124"/>
      <c r="N29" s="124"/>
      <c r="O29" s="73" t="s">
        <v>45</v>
      </c>
    </row>
    <row r="30" spans="2:15" ht="27" customHeight="1" x14ac:dyDescent="0.35">
      <c r="B30" s="69" t="s">
        <v>46</v>
      </c>
      <c r="C30" s="70" t="s">
        <v>6</v>
      </c>
      <c r="D30" s="71">
        <f>IF(OR(C30="Expenses",C30="Interest",C30="Depreciation"),1,-1)*(INDEX(Budget!$C$19:$F$27,MATCH(C30,Budget!$B$19:$B$27,0),MATCH(B30,Budget!$C$18:$F$18,0))-INDEX(Actuals!$C$6:$F$14,MATCH(C30,Actuals!$B$6:$B$14,0),MATCH(B30,Actuals!$C$5:$F$5,0)))</f>
        <v>10.549999999999727</v>
      </c>
      <c r="E30" s="72" t="str">
        <f t="shared" si="5"/>
        <v>F</v>
      </c>
      <c r="F30" s="124" t="s">
        <v>98</v>
      </c>
      <c r="G30" s="124"/>
      <c r="H30" s="124"/>
      <c r="I30" s="124"/>
      <c r="J30" s="124"/>
      <c r="K30" s="124"/>
      <c r="L30" s="124"/>
      <c r="M30" s="124"/>
      <c r="N30" s="124"/>
      <c r="O30" s="73" t="s">
        <v>47</v>
      </c>
    </row>
    <row r="31" spans="2:15" ht="27" customHeight="1" x14ac:dyDescent="0.35">
      <c r="B31" s="69" t="s">
        <v>46</v>
      </c>
      <c r="C31" s="70" t="s">
        <v>7</v>
      </c>
      <c r="D31" s="71">
        <f>IF(OR(C31="Expenses",C31="Interest",C31="Depreciation"),1,-1)*(INDEX(Budget!$C$19:$F$27,MATCH(C31,Budget!$B$19:$B$27,0),MATCH(B31,Budget!$C$18:$F$18,0))-INDEX(Actuals!$C$6:$F$14,MATCH(C31,Actuals!$B$6:$B$14,0),MATCH(B31,Actuals!$C$5:$F$5,0)))</f>
        <v>-3.1999999999998181</v>
      </c>
      <c r="E31" s="72" t="str">
        <f t="shared" si="5"/>
        <v>U</v>
      </c>
      <c r="F31" s="124" t="s">
        <v>99</v>
      </c>
      <c r="G31" s="124"/>
      <c r="H31" s="124"/>
      <c r="I31" s="124"/>
      <c r="J31" s="124"/>
      <c r="K31" s="124"/>
      <c r="L31" s="124"/>
      <c r="M31" s="124"/>
      <c r="N31" s="124"/>
      <c r="O31" s="73" t="s">
        <v>48</v>
      </c>
    </row>
    <row r="32" spans="2:15" ht="27" customHeight="1" x14ac:dyDescent="0.35">
      <c r="B32" s="69" t="s">
        <v>46</v>
      </c>
      <c r="C32" s="70" t="s">
        <v>39</v>
      </c>
      <c r="D32" s="71">
        <f>IF(OR(C32="Expenses",C32="Interest",C32="Depreciation"),1,-1)*(INDEX(Budget!$C$19:$F$27,MATCH(C32,Budget!$B$19:$B$27,0),MATCH(B32,Budget!$C$18:$F$18,0))-INDEX(Actuals!$C$6:$F$14,MATCH(C32,Actuals!$B$6:$B$14,0),MATCH(B32,Actuals!$C$5:$F$5,0)))</f>
        <v>2.4899999999998954</v>
      </c>
      <c r="E32" s="72" t="str">
        <f t="shared" si="5"/>
        <v>F</v>
      </c>
      <c r="F32" s="124" t="s">
        <v>100</v>
      </c>
      <c r="G32" s="124"/>
      <c r="H32" s="124"/>
      <c r="I32" s="124"/>
      <c r="J32" s="124"/>
      <c r="K32" s="124"/>
      <c r="L32" s="124"/>
      <c r="M32" s="124"/>
      <c r="N32" s="124"/>
      <c r="O32" s="73" t="s">
        <v>48</v>
      </c>
    </row>
    <row r="33" spans="2:15" ht="27" customHeight="1" x14ac:dyDescent="0.35">
      <c r="B33" s="69" t="s">
        <v>49</v>
      </c>
      <c r="C33" s="70" t="s">
        <v>6</v>
      </c>
      <c r="D33" s="71">
        <f>IF(OR(C33="Expenses",C33="Interest",C33="Depreciation"),1,-1)*(INDEX(Budget!$C$19:$F$27,MATCH(C33,Budget!$B$19:$B$27,0),MATCH(B33,Budget!$C$18:$F$18,0))-INDEX(Actuals!$C$6:$F$14,MATCH(C33,Actuals!$B$6:$B$14,0),MATCH(B33,Actuals!$C$5:$F$5,0)))</f>
        <v>36.25</v>
      </c>
      <c r="E33" s="72" t="str">
        <f t="shared" si="5"/>
        <v>F</v>
      </c>
      <c r="F33" s="124" t="s">
        <v>101</v>
      </c>
      <c r="G33" s="124"/>
      <c r="H33" s="124"/>
      <c r="I33" s="124"/>
      <c r="J33" s="124"/>
      <c r="K33" s="124"/>
      <c r="L33" s="124"/>
      <c r="M33" s="124"/>
      <c r="N33" s="124"/>
      <c r="O33" s="73" t="s">
        <v>50</v>
      </c>
    </row>
    <row r="34" spans="2:15" ht="27" customHeight="1" x14ac:dyDescent="0.35">
      <c r="B34" s="69" t="s">
        <v>49</v>
      </c>
      <c r="C34" s="70" t="s">
        <v>36</v>
      </c>
      <c r="D34" s="71">
        <f>IF(OR(C34="Expenses",C34="Interest",C34="Depreciation"),1,-1)*(INDEX(Budget!$C$19:$F$27,MATCH(C34,Budget!$B$19:$B$27,0),MATCH(B34,Budget!$C$18:$F$18,0))-INDEX(Actuals!$C$6:$F$14,MATCH(C34,Actuals!$B$6:$B$14,0),MATCH(B34,Actuals!$C$5:$F$5,0)))</f>
        <v>18.215000000000146</v>
      </c>
      <c r="E34" s="72" t="str">
        <f t="shared" si="5"/>
        <v>F</v>
      </c>
      <c r="F34" s="124" t="s">
        <v>102</v>
      </c>
      <c r="G34" s="124"/>
      <c r="H34" s="124"/>
      <c r="I34" s="124"/>
      <c r="J34" s="124"/>
      <c r="K34" s="124"/>
      <c r="L34" s="124"/>
      <c r="M34" s="124"/>
      <c r="N34" s="124"/>
      <c r="O34" s="73" t="s">
        <v>50</v>
      </c>
    </row>
    <row r="35" spans="2:15" ht="27" customHeight="1" x14ac:dyDescent="0.35">
      <c r="B35" s="69" t="s">
        <v>49</v>
      </c>
      <c r="C35" s="70" t="s">
        <v>10</v>
      </c>
      <c r="D35" s="71">
        <f>IF(OR(C35="Expenses",C35="Interest",C35="Depreciation"),1,-1)*(INDEX(Budget!$C$19:$F$27,MATCH(C35,Budget!$B$19:$B$27,0),MATCH(B35,Budget!$C$18:$F$18,0))-INDEX(Actuals!$C$6:$F$14,MATCH(C35,Actuals!$B$6:$B$14,0),MATCH(B35,Actuals!$C$5:$F$5,0)))</f>
        <v>13</v>
      </c>
      <c r="E35" s="72" t="str">
        <f t="shared" si="5"/>
        <v>F</v>
      </c>
      <c r="F35" s="124" t="s">
        <v>103</v>
      </c>
      <c r="G35" s="124"/>
      <c r="H35" s="124"/>
      <c r="I35" s="124"/>
      <c r="J35" s="124"/>
      <c r="K35" s="124"/>
      <c r="L35" s="124"/>
      <c r="M35" s="124"/>
      <c r="N35" s="124"/>
      <c r="O35" s="73" t="s">
        <v>51</v>
      </c>
    </row>
    <row r="36" spans="2:15" ht="27" customHeight="1" x14ac:dyDescent="0.35">
      <c r="B36" s="69" t="s">
        <v>30</v>
      </c>
      <c r="C36" s="70" t="s">
        <v>6</v>
      </c>
      <c r="D36" s="71">
        <f>IF(OR(C36="Expenses",C36="Interest",C36="Depreciation"),1,-1)*(INDEX(Budget!$C$19:$F$27,MATCH(C36,Budget!$B$19:$B$27,0),MATCH(B36,Budget!$C$18:$F$18,0))-INDEX(Actuals!$C$6:$F$14,MATCH(C36,Actuals!$B$6:$B$14,0),MATCH(B36,Actuals!$C$5:$F$5,0)))</f>
        <v>66.5</v>
      </c>
      <c r="E36" s="72" t="str">
        <f t="shared" si="5"/>
        <v>F</v>
      </c>
      <c r="F36" s="124" t="s">
        <v>104</v>
      </c>
      <c r="G36" s="124"/>
      <c r="H36" s="124"/>
      <c r="I36" s="124"/>
      <c r="J36" s="124"/>
      <c r="K36" s="124"/>
      <c r="L36" s="124"/>
      <c r="M36" s="124"/>
      <c r="N36" s="124"/>
      <c r="O36" s="73" t="s">
        <v>52</v>
      </c>
    </row>
    <row r="37" spans="2:15" ht="27" customHeight="1" x14ac:dyDescent="0.35">
      <c r="B37" s="69" t="s">
        <v>30</v>
      </c>
      <c r="C37" s="70" t="s">
        <v>7</v>
      </c>
      <c r="D37" s="71">
        <f>IF(OR(C37="Expenses",C37="Interest",C37="Depreciation"),1,-1)*(INDEX(Budget!$C$19:$F$27,MATCH(C37,Budget!$B$19:$B$27,0),MATCH(B37,Budget!$C$18:$F$18,0))-INDEX(Actuals!$C$6:$F$14,MATCH(C37,Actuals!$B$6:$B$14,0),MATCH(B37,Actuals!$C$5:$F$5,0)))</f>
        <v>-53.534999999999854</v>
      </c>
      <c r="E37" s="72" t="str">
        <f t="shared" si="5"/>
        <v>U</v>
      </c>
      <c r="F37" s="124" t="s">
        <v>105</v>
      </c>
      <c r="G37" s="124"/>
      <c r="H37" s="124"/>
      <c r="I37" s="124"/>
      <c r="J37" s="124"/>
      <c r="K37" s="124"/>
      <c r="L37" s="124"/>
      <c r="M37" s="124"/>
      <c r="N37" s="124"/>
      <c r="O37" s="73" t="s">
        <v>52</v>
      </c>
    </row>
    <row r="38" spans="2:15" ht="27" customHeight="1" x14ac:dyDescent="0.35">
      <c r="B38" s="69" t="s">
        <v>30</v>
      </c>
      <c r="C38" s="70" t="s">
        <v>39</v>
      </c>
      <c r="D38" s="71">
        <f>IF(OR(C38="Expenses",C38="Interest",C38="Depreciation"),1,-1)*(INDEX(Budget!$C$19:$F$27,MATCH(C38,Budget!$B$19:$B$27,0),MATCH(B38,Budget!$C$18:$F$18,0))-INDEX(Actuals!$C$6:$F$14,MATCH(C38,Actuals!$B$6:$B$14,0),MATCH(B38,Actuals!$C$5:$F$5,0)))</f>
        <v>27.535400000000152</v>
      </c>
      <c r="E38" s="72" t="str">
        <f t="shared" si="5"/>
        <v>F</v>
      </c>
      <c r="F38" s="124" t="s">
        <v>106</v>
      </c>
      <c r="G38" s="124"/>
      <c r="H38" s="124"/>
      <c r="I38" s="124"/>
      <c r="J38" s="124"/>
      <c r="K38" s="124"/>
      <c r="L38" s="124"/>
      <c r="M38" s="124"/>
      <c r="N38" s="124"/>
      <c r="O38" s="73" t="s">
        <v>53</v>
      </c>
    </row>
  </sheetData>
  <mergeCells count="13">
    <mergeCell ref="F26:N26"/>
    <mergeCell ref="F27:N27"/>
    <mergeCell ref="F28:N28"/>
    <mergeCell ref="F29:N29"/>
    <mergeCell ref="F30:N30"/>
    <mergeCell ref="F36:N36"/>
    <mergeCell ref="F37:N37"/>
    <mergeCell ref="F38:N38"/>
    <mergeCell ref="F31:N31"/>
    <mergeCell ref="F32:N32"/>
    <mergeCell ref="F33:N33"/>
    <mergeCell ref="F34:N34"/>
    <mergeCell ref="F35:N35"/>
  </mergeCells>
  <conditionalFormatting sqref="E27:E38">
    <cfRule type="expression" dxfId="17" priority="18">
      <formula>E27="F"</formula>
    </cfRule>
    <cfRule type="expression" dxfId="16" priority="19">
      <formula>E27="U"</formula>
    </cfRule>
  </conditionalFormatting>
  <conditionalFormatting sqref="F8:F16">
    <cfRule type="cellIs" dxfId="15" priority="3" operator="greaterThan">
      <formula>0.05</formula>
    </cfRule>
    <cfRule type="cellIs" dxfId="14" priority="4" operator="lessThan">
      <formula>-0.05</formula>
    </cfRule>
  </conditionalFormatting>
  <conditionalFormatting sqref="G8:G16">
    <cfRule type="expression" dxfId="13" priority="1">
      <formula>G8="F"</formula>
    </cfRule>
    <cfRule type="expression" dxfId="12" priority="2">
      <formula>G8="U"</formula>
    </cfRule>
  </conditionalFormatting>
  <conditionalFormatting sqref="G20:G23">
    <cfRule type="expression" dxfId="11" priority="12">
      <formula>G20="F"</formula>
    </cfRule>
    <cfRule type="expression" dxfId="10" priority="13">
      <formula>G20="U"</formula>
    </cfRule>
  </conditionalFormatting>
  <conditionalFormatting sqref="M8:M16">
    <cfRule type="cellIs" dxfId="9" priority="8" operator="greaterThan">
      <formula>0.05</formula>
    </cfRule>
    <cfRule type="cellIs" dxfId="8" priority="9" operator="lessThan">
      <formula>-0.05</formula>
    </cfRule>
  </conditionalFormatting>
  <conditionalFormatting sqref="N8:N16">
    <cfRule type="expression" dxfId="7" priority="20">
      <formula>N8="F"</formula>
    </cfRule>
    <cfRule type="expression" dxfId="6" priority="21">
      <formula>N8="U"</formula>
    </cfRule>
  </conditionalFormatting>
  <conditionalFormatting sqref="N20:N23">
    <cfRule type="expression" dxfId="5" priority="14">
      <formula>N20="F"</formula>
    </cfRule>
    <cfRule type="expression" dxfId="4" priority="15">
      <formula>N20="U"</formula>
    </cfRule>
  </conditionalFormatting>
  <dataValidations count="1">
    <dataValidation type="list" allowBlank="1" showInputMessage="1" showErrorMessage="1" sqref="B4:B5" xr:uid="{00000000-0002-0000-0200-000000000000}">
      <formula1>"Jun-25,Sep-25,Dec-25,Mar-26"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ignoredErrors>
    <ignoredError sqref="E9:E14 L9:L14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0"/>
  <sheetViews>
    <sheetView showGridLines="0" zoomScale="82" zoomScaleNormal="63" workbookViewId="0">
      <selection activeCell="I13" sqref="I13"/>
    </sheetView>
  </sheetViews>
  <sheetFormatPr defaultColWidth="8.6328125" defaultRowHeight="14.5" x14ac:dyDescent="0.35"/>
  <cols>
    <col min="1" max="1" width="2.1796875" customWidth="1"/>
    <col min="2" max="2" width="42" style="1" customWidth="1"/>
    <col min="3" max="10" width="13" style="1" customWidth="1"/>
  </cols>
  <sheetData>
    <row r="2" spans="2:10" ht="18.5" x14ac:dyDescent="0.45">
      <c r="B2" s="80" t="s">
        <v>146</v>
      </c>
    </row>
    <row r="4" spans="2:10" ht="15.5" x14ac:dyDescent="0.35">
      <c r="B4" s="115" t="s">
        <v>149</v>
      </c>
      <c r="C4" s="106"/>
      <c r="D4" s="106"/>
      <c r="E4" s="106"/>
      <c r="F4" s="106"/>
      <c r="G4"/>
      <c r="H4"/>
      <c r="I4"/>
    </row>
    <row r="5" spans="2:10" ht="30" customHeight="1" x14ac:dyDescent="0.35">
      <c r="B5" s="113" t="s">
        <v>17</v>
      </c>
      <c r="C5" s="114" t="s">
        <v>18</v>
      </c>
      <c r="D5" s="114" t="s">
        <v>19</v>
      </c>
      <c r="E5" s="114" t="s">
        <v>147</v>
      </c>
      <c r="F5" s="114" t="s">
        <v>5</v>
      </c>
      <c r="G5"/>
      <c r="H5"/>
      <c r="I5"/>
    </row>
    <row r="6" spans="2:10" x14ac:dyDescent="0.35">
      <c r="B6" s="74" t="s">
        <v>20</v>
      </c>
      <c r="C6" s="107">
        <f>Budget!G33/Budget!$G$19</f>
        <v>0.52016636153784923</v>
      </c>
      <c r="D6" s="107">
        <f>Actuals!G20/Actuals!$G$6</f>
        <v>0.51722883347229598</v>
      </c>
      <c r="E6" s="108">
        <f>(C6-D6)*100</f>
        <v>0.29375280655532521</v>
      </c>
      <c r="F6" s="109" t="str">
        <f>IF(ROUND(E6,4)=0,"-",IF(E6&gt;0,"F","U"))</f>
        <v>F</v>
      </c>
      <c r="G6"/>
      <c r="H6"/>
      <c r="I6"/>
    </row>
    <row r="7" spans="2:10" x14ac:dyDescent="0.35">
      <c r="B7" s="74" t="s">
        <v>21</v>
      </c>
      <c r="C7" s="107">
        <f>Budget!G34/Budget!$G$19</f>
        <v>0.10278755074424897</v>
      </c>
      <c r="D7" s="107">
        <f>Actuals!G21/Actuals!$G$6</f>
        <v>0.10427499431516714</v>
      </c>
      <c r="E7" s="108">
        <f>(C7-D7)*100</f>
        <v>-0.14874435709181649</v>
      </c>
      <c r="F7" s="109" t="str">
        <f>IF(ROUND(E7,4)=0,"-",IF(E7&gt;0,"F","U"))</f>
        <v>U</v>
      </c>
      <c r="G7"/>
      <c r="H7"/>
      <c r="I7"/>
    </row>
    <row r="8" spans="2:10" x14ac:dyDescent="0.35">
      <c r="B8" s="74" t="s">
        <v>22</v>
      </c>
      <c r="C8" s="107">
        <f>Budget!G35/Budget!$G$19</f>
        <v>6.8820345458887211E-2</v>
      </c>
      <c r="D8" s="107">
        <f>Actuals!G22/Actuals!$G$6</f>
        <v>6.7316000909573265E-2</v>
      </c>
      <c r="E8" s="108">
        <f>(C8-D8)*100</f>
        <v>0.15043445493139462</v>
      </c>
      <c r="F8" s="109" t="str">
        <f>IF(ROUND(E8,4)=0,"-",IF(E8&gt;0,"F","U"))</f>
        <v>F</v>
      </c>
      <c r="G8"/>
      <c r="H8"/>
      <c r="I8"/>
    </row>
    <row r="9" spans="2:10" x14ac:dyDescent="0.35">
      <c r="B9" s="74" t="s">
        <v>23</v>
      </c>
      <c r="C9" s="107">
        <f>Budget!G36/Budget!$G$19</f>
        <v>0.12384939902889437</v>
      </c>
      <c r="D9" s="107">
        <f>Actuals!G23/Actuals!$G$6</f>
        <v>0.12531645569620253</v>
      </c>
      <c r="E9" s="108">
        <f>(C9-D9)*100</f>
        <v>-0.14670566673081614</v>
      </c>
      <c r="F9" s="109" t="str">
        <f>IF(ROUND(E9,4)=0,"-",IF(E9&gt;0,"F","U"))</f>
        <v>U</v>
      </c>
      <c r="G9"/>
      <c r="H9"/>
      <c r="I9"/>
    </row>
    <row r="10" spans="2:10" x14ac:dyDescent="0.35">
      <c r="B10" s="78" t="s">
        <v>148</v>
      </c>
      <c r="C10" s="110">
        <f>SUM(C6:C9)</f>
        <v>0.81562365676987969</v>
      </c>
      <c r="D10" s="110">
        <f>SUM(D6:D9)</f>
        <v>0.81413628439323893</v>
      </c>
      <c r="E10" s="111">
        <f>(C10-D10)*100</f>
        <v>0.14873723766407609</v>
      </c>
      <c r="F10" s="112" t="str">
        <f>IF(ROUND(E10,4)=0,"-",IF(E10&gt;0,"F","U"))</f>
        <v>F</v>
      </c>
      <c r="G10"/>
      <c r="H10"/>
      <c r="I10"/>
    </row>
    <row r="11" spans="2:10" x14ac:dyDescent="0.35">
      <c r="B11" s="49"/>
    </row>
    <row r="12" spans="2:10" ht="15.5" x14ac:dyDescent="0.35">
      <c r="B12" s="85" t="s">
        <v>143</v>
      </c>
      <c r="H12"/>
      <c r="I12"/>
      <c r="J12"/>
    </row>
    <row r="13" spans="2:10" x14ac:dyDescent="0.35">
      <c r="B13" s="58" t="s">
        <v>16</v>
      </c>
      <c r="C13" s="97" t="s">
        <v>44</v>
      </c>
      <c r="D13" s="97" t="s">
        <v>46</v>
      </c>
      <c r="E13" s="97" t="s">
        <v>49</v>
      </c>
      <c r="F13" s="97" t="s">
        <v>30</v>
      </c>
      <c r="G13" s="58" t="s">
        <v>123</v>
      </c>
      <c r="H13"/>
      <c r="I13"/>
      <c r="J13"/>
    </row>
    <row r="14" spans="2:10" x14ac:dyDescent="0.35">
      <c r="B14" s="74" t="s">
        <v>124</v>
      </c>
      <c r="C14" s="75">
        <f>Budget!C6</f>
        <v>3349</v>
      </c>
      <c r="D14" s="75">
        <f>Budget!D6</f>
        <v>3029</v>
      </c>
      <c r="E14" s="75">
        <f>Budget!E6</f>
        <v>3355</v>
      </c>
      <c r="F14" s="75">
        <f>Budget!F6</f>
        <v>2830</v>
      </c>
      <c r="G14" s="91">
        <f>SUM(C14:F14)</f>
        <v>12563</v>
      </c>
      <c r="H14"/>
      <c r="I14"/>
      <c r="J14"/>
    </row>
    <row r="15" spans="2:10" x14ac:dyDescent="0.35">
      <c r="B15" s="74" t="s">
        <v>125</v>
      </c>
      <c r="C15" s="92">
        <f>Budget!$C$44</f>
        <v>0.03</v>
      </c>
      <c r="D15" s="92">
        <f>Budget!$C$44</f>
        <v>0.03</v>
      </c>
      <c r="E15" s="92">
        <f>Budget!$C$44</f>
        <v>0.03</v>
      </c>
      <c r="F15" s="92">
        <f>Budget!$C$44</f>
        <v>0.03</v>
      </c>
      <c r="G15" s="93">
        <f>C15</f>
        <v>0.03</v>
      </c>
      <c r="H15"/>
      <c r="I15"/>
      <c r="J15"/>
    </row>
    <row r="16" spans="2:10" x14ac:dyDescent="0.35">
      <c r="B16" s="74" t="s">
        <v>126</v>
      </c>
      <c r="C16" s="92">
        <f>Budget!$C$45</f>
        <v>1.9417475728155331E-2</v>
      </c>
      <c r="D16" s="92">
        <f>Budget!$C$45</f>
        <v>1.9417475728155331E-2</v>
      </c>
      <c r="E16" s="92">
        <f>Budget!$C$45</f>
        <v>1.9417475728155331E-2</v>
      </c>
      <c r="F16" s="92">
        <f>Budget!$C$45</f>
        <v>1.9417475728155331E-2</v>
      </c>
      <c r="G16" s="93">
        <f>C16</f>
        <v>1.9417475728155331E-2</v>
      </c>
      <c r="H16"/>
      <c r="I16"/>
      <c r="J16"/>
    </row>
    <row r="17" spans="2:10" x14ac:dyDescent="0.35">
      <c r="B17" s="74" t="s">
        <v>127</v>
      </c>
      <c r="C17" s="92">
        <f>Data!K22</f>
        <v>-0.01</v>
      </c>
      <c r="D17" s="92">
        <f>Data!L22</f>
        <v>0.02</v>
      </c>
      <c r="E17" s="92">
        <f>Data!M22</f>
        <v>0.03</v>
      </c>
      <c r="F17" s="92">
        <f>Data!N22</f>
        <v>0.06</v>
      </c>
      <c r="G17" s="93"/>
      <c r="H17"/>
      <c r="I17"/>
      <c r="J17"/>
    </row>
    <row r="18" spans="2:10" x14ac:dyDescent="0.35">
      <c r="B18" s="74" t="s">
        <v>128</v>
      </c>
      <c r="C18" s="77">
        <f>(C21/C14)/(1+C17)-1</f>
        <v>2.6991322601952694E-2</v>
      </c>
      <c r="D18" s="77">
        <f>(D21/D14)/(1+D17)-1</f>
        <v>3.2826468322555202E-2</v>
      </c>
      <c r="E18" s="77">
        <f>(E21/E14)/(1+E17)-1</f>
        <v>2.9907542719893598E-2</v>
      </c>
      <c r="F18" s="77">
        <f>(F21/F14)/(1+F17)-1</f>
        <v>1.2734182278818507E-2</v>
      </c>
      <c r="G18" s="93"/>
      <c r="H18"/>
      <c r="I18"/>
      <c r="J18"/>
    </row>
    <row r="19" spans="2:10" x14ac:dyDescent="0.35">
      <c r="B19" s="74" t="s">
        <v>129</v>
      </c>
      <c r="C19" s="75">
        <f>Budget!C19</f>
        <v>3516.4500000000003</v>
      </c>
      <c r="D19" s="75">
        <f>Budget!D19</f>
        <v>3180.4500000000003</v>
      </c>
      <c r="E19" s="75">
        <f>Budget!E19</f>
        <v>3522.75</v>
      </c>
      <c r="F19" s="75">
        <f>Budget!F19</f>
        <v>2971.5</v>
      </c>
      <c r="G19" s="91">
        <f t="shared" ref="G19:G24" si="0">SUM(C19:F19)</f>
        <v>13191.150000000001</v>
      </c>
      <c r="H19"/>
      <c r="I19"/>
      <c r="J19"/>
    </row>
    <row r="20" spans="2:10" x14ac:dyDescent="0.35">
      <c r="B20" s="74" t="s">
        <v>130</v>
      </c>
      <c r="C20" s="76">
        <f>C14*(1+C17)*(1+C16)</f>
        <v>3379.8888349514559</v>
      </c>
      <c r="D20" s="76">
        <f>D14*(1+D17)*(1+D16)</f>
        <v>3149.5718446601941</v>
      </c>
      <c r="E20" s="76">
        <f>E14*(1+E17)*(1+E16)</f>
        <v>3522.75</v>
      </c>
      <c r="F20" s="76">
        <f>F14*(1+F17)*(1+F16)</f>
        <v>3058.0485436893205</v>
      </c>
      <c r="G20" s="91">
        <f t="shared" si="0"/>
        <v>13110.259223300971</v>
      </c>
      <c r="H20"/>
      <c r="I20"/>
      <c r="J20"/>
    </row>
    <row r="21" spans="2:10" x14ac:dyDescent="0.35">
      <c r="B21" s="74" t="s">
        <v>131</v>
      </c>
      <c r="C21" s="75">
        <f>Actuals!C6</f>
        <v>3405</v>
      </c>
      <c r="D21" s="75">
        <f>Actuals!D6</f>
        <v>3191</v>
      </c>
      <c r="E21" s="75">
        <f>Actuals!E6</f>
        <v>3559</v>
      </c>
      <c r="F21" s="75">
        <f>Actuals!F6</f>
        <v>3038</v>
      </c>
      <c r="G21" s="91">
        <f t="shared" si="0"/>
        <v>13193</v>
      </c>
      <c r="H21"/>
      <c r="I21"/>
      <c r="J21"/>
    </row>
    <row r="22" spans="2:10" x14ac:dyDescent="0.35">
      <c r="B22" s="94" t="s">
        <v>132</v>
      </c>
      <c r="C22" s="95">
        <f t="shared" ref="C22:F23" si="1">C20-C19</f>
        <v>-136.56116504854435</v>
      </c>
      <c r="D22" s="95">
        <f t="shared" si="1"/>
        <v>-30.878155339806199</v>
      </c>
      <c r="E22" s="95">
        <f t="shared" si="1"/>
        <v>0</v>
      </c>
      <c r="F22" s="95">
        <f t="shared" si="1"/>
        <v>86.548543689320468</v>
      </c>
      <c r="G22" s="96">
        <f t="shared" si="0"/>
        <v>-80.890776699030084</v>
      </c>
      <c r="H22"/>
      <c r="I22"/>
      <c r="J22"/>
    </row>
    <row r="23" spans="2:10" x14ac:dyDescent="0.35">
      <c r="B23" s="94" t="s">
        <v>133</v>
      </c>
      <c r="C23" s="95">
        <f>C21-C20</f>
        <v>25.11116504854408</v>
      </c>
      <c r="D23" s="95">
        <f t="shared" si="1"/>
        <v>41.428155339805926</v>
      </c>
      <c r="E23" s="95">
        <f t="shared" si="1"/>
        <v>36.25</v>
      </c>
      <c r="F23" s="95">
        <f t="shared" si="1"/>
        <v>-20.048543689320468</v>
      </c>
      <c r="G23" s="96">
        <f t="shared" si="0"/>
        <v>82.740776699029539</v>
      </c>
      <c r="H23"/>
      <c r="I23"/>
      <c r="J23"/>
    </row>
    <row r="24" spans="2:10" x14ac:dyDescent="0.35">
      <c r="B24" s="74" t="s">
        <v>134</v>
      </c>
      <c r="C24" s="76">
        <f>C22+C23</f>
        <v>-111.45000000000027</v>
      </c>
      <c r="D24" s="76">
        <f>D22+D23</f>
        <v>10.549999999999727</v>
      </c>
      <c r="E24" s="76">
        <f>E22+E23</f>
        <v>36.25</v>
      </c>
      <c r="F24" s="76">
        <f>F22+F23</f>
        <v>66.5</v>
      </c>
      <c r="G24" s="91">
        <f t="shared" si="0"/>
        <v>1.8499999999994543</v>
      </c>
      <c r="H24"/>
      <c r="I24"/>
      <c r="J24"/>
    </row>
    <row r="25" spans="2:10" x14ac:dyDescent="0.35">
      <c r="B25" s="74" t="s">
        <v>154</v>
      </c>
      <c r="C25" s="76">
        <f>ROUND(C24-(C21-C19),6)</f>
        <v>0</v>
      </c>
      <c r="D25" s="76">
        <f>ROUND(D24-(D21-D19),6)</f>
        <v>0</v>
      </c>
      <c r="E25" s="76">
        <f>ROUND(E24-(E21-E19),6)</f>
        <v>0</v>
      </c>
      <c r="F25" s="76">
        <f>ROUND(F24-(F21-F19),6)</f>
        <v>0</v>
      </c>
      <c r="G25" s="91">
        <f>ROUND(G24-(G21-G19),6)</f>
        <v>0</v>
      </c>
      <c r="H25"/>
      <c r="I25"/>
      <c r="J25"/>
    </row>
    <row r="26" spans="2:10" x14ac:dyDescent="0.35">
      <c r="B26"/>
      <c r="C26"/>
      <c r="D26"/>
      <c r="E26"/>
      <c r="F26"/>
      <c r="G26"/>
      <c r="H26"/>
      <c r="I26"/>
      <c r="J26"/>
    </row>
    <row r="27" spans="2:10" ht="15.5" x14ac:dyDescent="0.35">
      <c r="B27" s="85" t="s">
        <v>135</v>
      </c>
    </row>
    <row r="28" spans="2:10" x14ac:dyDescent="0.35">
      <c r="B28" s="58" t="s">
        <v>24</v>
      </c>
      <c r="C28" s="58" t="s">
        <v>25</v>
      </c>
    </row>
    <row r="29" spans="2:10" x14ac:dyDescent="0.35">
      <c r="B29" s="78" t="s">
        <v>26</v>
      </c>
      <c r="C29" s="79">
        <f>Budget!G27</f>
        <v>1846.0572200000001</v>
      </c>
    </row>
    <row r="30" spans="2:10" x14ac:dyDescent="0.35">
      <c r="B30" s="74" t="s">
        <v>137</v>
      </c>
      <c r="C30" s="76">
        <f>G22</f>
        <v>-80.890776699030084</v>
      </c>
    </row>
    <row r="31" spans="2:10" x14ac:dyDescent="0.35">
      <c r="B31" s="74" t="s">
        <v>138</v>
      </c>
      <c r="C31" s="76">
        <f>G23</f>
        <v>82.740776699029539</v>
      </c>
    </row>
    <row r="32" spans="2:10" x14ac:dyDescent="0.35">
      <c r="B32" s="74" t="s">
        <v>20</v>
      </c>
      <c r="C32" s="76">
        <f>Budget!G33-Actuals!G20</f>
        <v>37.792499999999563</v>
      </c>
    </row>
    <row r="33" spans="2:3" x14ac:dyDescent="0.35">
      <c r="B33" s="74" t="s">
        <v>21</v>
      </c>
      <c r="C33" s="76">
        <f>Budget!G34-Actuals!G21</f>
        <v>-19.814000000000078</v>
      </c>
    </row>
    <row r="34" spans="2:3" x14ac:dyDescent="0.35">
      <c r="B34" s="74" t="s">
        <v>22</v>
      </c>
      <c r="C34" s="76">
        <f>Budget!G35-Actuals!G22</f>
        <v>19.719500000000039</v>
      </c>
    </row>
    <row r="35" spans="2:3" x14ac:dyDescent="0.35">
      <c r="B35" s="74" t="s">
        <v>27</v>
      </c>
      <c r="C35" s="76">
        <f>(Actuals!G8-Budget!G21)-SUM(C30:C34)</f>
        <v>-21.683999999999401</v>
      </c>
    </row>
    <row r="36" spans="2:3" x14ac:dyDescent="0.35">
      <c r="B36" s="74" t="s">
        <v>9</v>
      </c>
      <c r="C36" s="76">
        <f>Actuals!G9-Budget!G22</f>
        <v>6.4500000000000455</v>
      </c>
    </row>
    <row r="37" spans="2:3" x14ac:dyDescent="0.35">
      <c r="B37" s="74" t="s">
        <v>10</v>
      </c>
      <c r="C37" s="76">
        <f>Budget!G23-Actuals!G10</f>
        <v>17</v>
      </c>
    </row>
    <row r="38" spans="2:3" x14ac:dyDescent="0.35">
      <c r="B38" s="74" t="s">
        <v>11</v>
      </c>
      <c r="C38" s="76">
        <f>Budget!G24-Actuals!G11</f>
        <v>-22</v>
      </c>
    </row>
    <row r="39" spans="2:3" x14ac:dyDescent="0.35">
      <c r="B39" s="74" t="s">
        <v>28</v>
      </c>
      <c r="C39" s="76">
        <f>(Budget!G25-Budget!G27)-(Actuals!G12-Actuals!G14)</f>
        <v>3.6287800000004609</v>
      </c>
    </row>
    <row r="40" spans="2:3" x14ac:dyDescent="0.35">
      <c r="B40" s="78" t="s">
        <v>29</v>
      </c>
      <c r="C40" s="79">
        <f>Actuals!G14</f>
        <v>1869</v>
      </c>
    </row>
  </sheetData>
  <conditionalFormatting sqref="F6:F10">
    <cfRule type="expression" dxfId="3" priority="3">
      <formula>F6="F"</formula>
    </cfRule>
    <cfRule type="expression" dxfId="2" priority="4">
      <formula>F6="U"</formula>
    </cfRule>
  </conditionalFormatting>
  <conditionalFormatting sqref="G14:G25">
    <cfRule type="expression" dxfId="1" priority="1">
      <formula>G14="F"</formula>
    </cfRule>
    <cfRule type="expression" dxfId="0" priority="2">
      <formula>G14="U"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2"/>
  <sheetViews>
    <sheetView showGridLines="0" tabSelected="1" zoomScale="72" zoomScaleNormal="69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H31" sqref="H31"/>
    </sheetView>
  </sheetViews>
  <sheetFormatPr defaultColWidth="8.6328125" defaultRowHeight="14.5" x14ac:dyDescent="0.35"/>
  <cols>
    <col min="1" max="1" width="2.1796875" customWidth="1"/>
    <col min="2" max="2" width="34" style="1" customWidth="1"/>
    <col min="3" max="4" width="14" style="1" customWidth="1"/>
    <col min="5" max="14" width="11" style="1" customWidth="1"/>
    <col min="15" max="16" width="8.6328125" style="1"/>
  </cols>
  <sheetData>
    <row r="1" spans="2:14" ht="18" customHeight="1" x14ac:dyDescent="0.45">
      <c r="B1" s="80" t="s">
        <v>69</v>
      </c>
    </row>
    <row r="2" spans="2:14" x14ac:dyDescent="0.35">
      <c r="B2" s="49"/>
    </row>
    <row r="3" spans="2:14" x14ac:dyDescent="0.35">
      <c r="B3" s="81" t="s">
        <v>16</v>
      </c>
      <c r="C3" s="81" t="s">
        <v>70</v>
      </c>
      <c r="D3" s="81" t="s">
        <v>71</v>
      </c>
      <c r="E3" s="81" t="s">
        <v>72</v>
      </c>
      <c r="F3" s="81" t="s">
        <v>73</v>
      </c>
      <c r="G3" s="81" t="s">
        <v>54</v>
      </c>
      <c r="H3" s="81" t="s">
        <v>55</v>
      </c>
      <c r="I3" s="81" t="s">
        <v>56</v>
      </c>
      <c r="J3" s="81" t="s">
        <v>57</v>
      </c>
      <c r="K3" s="81" t="s">
        <v>44</v>
      </c>
      <c r="L3" s="81" t="s">
        <v>46</v>
      </c>
      <c r="M3" s="81" t="s">
        <v>49</v>
      </c>
      <c r="N3" s="81" t="s">
        <v>30</v>
      </c>
    </row>
    <row r="4" spans="2:14" x14ac:dyDescent="0.35">
      <c r="B4" s="20" t="s">
        <v>6</v>
      </c>
      <c r="C4" s="21">
        <v>3130</v>
      </c>
      <c r="D4" s="21">
        <v>3204</v>
      </c>
      <c r="E4" s="21">
        <v>3255</v>
      </c>
      <c r="F4" s="21">
        <v>2815</v>
      </c>
      <c r="G4" s="21">
        <v>3349</v>
      </c>
      <c r="H4" s="21">
        <v>3029</v>
      </c>
      <c r="I4" s="21">
        <v>3355</v>
      </c>
      <c r="J4" s="21">
        <v>2830</v>
      </c>
      <c r="K4" s="21">
        <v>3405</v>
      </c>
      <c r="L4" s="21">
        <v>3191</v>
      </c>
      <c r="M4" s="21">
        <v>3559</v>
      </c>
      <c r="N4" s="21">
        <v>3038</v>
      </c>
    </row>
    <row r="5" spans="2:14" x14ac:dyDescent="0.35">
      <c r="B5" s="20" t="s">
        <v>7</v>
      </c>
      <c r="C5" s="21">
        <v>2526</v>
      </c>
      <c r="D5" s="21">
        <v>2543</v>
      </c>
      <c r="E5" s="21">
        <v>2588</v>
      </c>
      <c r="F5" s="21">
        <v>2348</v>
      </c>
      <c r="G5" s="21">
        <v>2694</v>
      </c>
      <c r="H5" s="21">
        <v>2476</v>
      </c>
      <c r="I5" s="21">
        <v>2673</v>
      </c>
      <c r="J5" s="21">
        <v>2403</v>
      </c>
      <c r="K5" s="21">
        <v>2737</v>
      </c>
      <c r="L5" s="21">
        <v>2603</v>
      </c>
      <c r="M5" s="21">
        <v>2825</v>
      </c>
      <c r="N5" s="21">
        <v>2577</v>
      </c>
    </row>
    <row r="6" spans="2:14" x14ac:dyDescent="0.35">
      <c r="B6" s="23" t="s">
        <v>36</v>
      </c>
      <c r="C6" s="21">
        <v>605</v>
      </c>
      <c r="D6" s="21">
        <v>661</v>
      </c>
      <c r="E6" s="21">
        <v>667</v>
      </c>
      <c r="F6" s="21">
        <v>466</v>
      </c>
      <c r="G6" s="21">
        <v>655</v>
      </c>
      <c r="H6" s="21">
        <v>553</v>
      </c>
      <c r="I6" s="21">
        <v>682</v>
      </c>
      <c r="J6" s="21">
        <v>427</v>
      </c>
      <c r="K6" s="21">
        <v>667</v>
      </c>
      <c r="L6" s="21">
        <v>588</v>
      </c>
      <c r="M6" s="21">
        <v>734</v>
      </c>
      <c r="N6" s="21">
        <v>461</v>
      </c>
    </row>
    <row r="7" spans="2:14" x14ac:dyDescent="0.35">
      <c r="B7" s="20" t="s">
        <v>74</v>
      </c>
      <c r="C7" s="24">
        <v>0.19</v>
      </c>
      <c r="D7" s="24">
        <v>0.21</v>
      </c>
      <c r="E7" s="24">
        <v>0.2</v>
      </c>
      <c r="F7" s="24">
        <v>0.17</v>
      </c>
      <c r="G7" s="24">
        <v>0.2</v>
      </c>
      <c r="H7" s="24">
        <v>0.18</v>
      </c>
      <c r="I7" s="24">
        <v>0.2</v>
      </c>
      <c r="J7" s="24">
        <v>0.15</v>
      </c>
      <c r="K7" s="24">
        <v>0.2</v>
      </c>
      <c r="L7" s="24">
        <v>0.18</v>
      </c>
      <c r="M7" s="24">
        <v>0.21</v>
      </c>
      <c r="N7" s="24">
        <v>0.15</v>
      </c>
    </row>
    <row r="8" spans="2:14" x14ac:dyDescent="0.35">
      <c r="B8" s="20" t="s">
        <v>37</v>
      </c>
      <c r="C8" s="21">
        <v>110</v>
      </c>
      <c r="D8" s="21">
        <v>117</v>
      </c>
      <c r="E8" s="21">
        <v>127</v>
      </c>
      <c r="F8" s="21">
        <v>129</v>
      </c>
      <c r="G8" s="21">
        <v>129</v>
      </c>
      <c r="H8" s="21">
        <v>152</v>
      </c>
      <c r="I8" s="21">
        <v>129</v>
      </c>
      <c r="J8" s="21">
        <v>141</v>
      </c>
      <c r="K8" s="21">
        <v>144</v>
      </c>
      <c r="L8" s="21">
        <v>140</v>
      </c>
      <c r="M8" s="21">
        <v>126</v>
      </c>
      <c r="N8" s="21">
        <v>175</v>
      </c>
    </row>
    <row r="9" spans="2:14" x14ac:dyDescent="0.35">
      <c r="B9" s="20" t="s">
        <v>10</v>
      </c>
      <c r="C9" s="21">
        <v>24</v>
      </c>
      <c r="D9" s="21">
        <v>28</v>
      </c>
      <c r="E9" s="21">
        <v>36</v>
      </c>
      <c r="F9" s="21">
        <v>35</v>
      </c>
      <c r="G9" s="21">
        <v>33</v>
      </c>
      <c r="H9" s="21">
        <v>47</v>
      </c>
      <c r="I9" s="21">
        <v>44</v>
      </c>
      <c r="J9" s="21">
        <v>39</v>
      </c>
      <c r="K9" s="21">
        <v>35</v>
      </c>
      <c r="L9" s="21">
        <v>40</v>
      </c>
      <c r="M9" s="21">
        <v>31</v>
      </c>
      <c r="N9" s="21">
        <v>40</v>
      </c>
    </row>
    <row r="10" spans="2:14" x14ac:dyDescent="0.35">
      <c r="B10" s="20" t="s">
        <v>11</v>
      </c>
      <c r="C10" s="21">
        <v>97</v>
      </c>
      <c r="D10" s="21">
        <v>98</v>
      </c>
      <c r="E10" s="21">
        <v>97</v>
      </c>
      <c r="F10" s="21">
        <v>107</v>
      </c>
      <c r="G10" s="21">
        <v>109</v>
      </c>
      <c r="H10" s="21">
        <v>111</v>
      </c>
      <c r="I10" s="21">
        <v>109</v>
      </c>
      <c r="J10" s="21">
        <v>117</v>
      </c>
      <c r="K10" s="21">
        <v>114</v>
      </c>
      <c r="L10" s="21">
        <v>115</v>
      </c>
      <c r="M10" s="21">
        <v>117</v>
      </c>
      <c r="N10" s="21">
        <v>122</v>
      </c>
    </row>
    <row r="11" spans="2:14" x14ac:dyDescent="0.35">
      <c r="B11" s="23" t="s">
        <v>12</v>
      </c>
      <c r="C11" s="21">
        <v>593</v>
      </c>
      <c r="D11" s="21">
        <v>651</v>
      </c>
      <c r="E11" s="21">
        <v>661</v>
      </c>
      <c r="F11" s="21">
        <v>453</v>
      </c>
      <c r="G11" s="21">
        <v>642</v>
      </c>
      <c r="H11" s="21">
        <v>546</v>
      </c>
      <c r="I11" s="21">
        <v>658</v>
      </c>
      <c r="J11" s="21">
        <v>412</v>
      </c>
      <c r="K11" s="21">
        <v>663</v>
      </c>
      <c r="L11" s="21">
        <v>573</v>
      </c>
      <c r="M11" s="21">
        <v>711</v>
      </c>
      <c r="N11" s="21">
        <v>474</v>
      </c>
    </row>
    <row r="12" spans="2:14" x14ac:dyDescent="0.35">
      <c r="B12" s="20" t="s">
        <v>38</v>
      </c>
      <c r="C12" s="24">
        <v>0.23</v>
      </c>
      <c r="D12" s="24">
        <v>0.22</v>
      </c>
      <c r="E12" s="24">
        <v>0.23</v>
      </c>
      <c r="F12" s="24">
        <v>0.25</v>
      </c>
      <c r="G12" s="24">
        <v>0.23</v>
      </c>
      <c r="H12" s="24">
        <v>0.24</v>
      </c>
      <c r="I12" s="24">
        <v>0.22</v>
      </c>
      <c r="J12" s="24">
        <v>0.24</v>
      </c>
      <c r="K12" s="24">
        <v>0.23</v>
      </c>
      <c r="L12" s="24">
        <v>0.22</v>
      </c>
      <c r="M12" s="24">
        <v>0.22</v>
      </c>
      <c r="N12" s="24">
        <v>0.24</v>
      </c>
    </row>
    <row r="13" spans="2:14" x14ac:dyDescent="0.35">
      <c r="B13" s="23" t="s">
        <v>39</v>
      </c>
      <c r="C13" s="21">
        <v>457</v>
      </c>
      <c r="D13" s="21">
        <v>507</v>
      </c>
      <c r="E13" s="21">
        <v>506</v>
      </c>
      <c r="F13" s="21">
        <v>341</v>
      </c>
      <c r="G13" s="21">
        <v>494</v>
      </c>
      <c r="H13" s="21">
        <v>418</v>
      </c>
      <c r="I13" s="21">
        <v>516</v>
      </c>
      <c r="J13" s="21">
        <v>313</v>
      </c>
      <c r="K13" s="21">
        <v>508</v>
      </c>
      <c r="L13" s="21">
        <v>445</v>
      </c>
      <c r="M13" s="21">
        <v>554</v>
      </c>
      <c r="N13" s="21">
        <v>362</v>
      </c>
    </row>
    <row r="15" spans="2:14" ht="15.5" x14ac:dyDescent="0.35">
      <c r="B15" s="85" t="s">
        <v>108</v>
      </c>
    </row>
    <row r="16" spans="2:14" x14ac:dyDescent="0.35">
      <c r="B16" s="50" t="s">
        <v>20</v>
      </c>
      <c r="G16" s="86">
        <v>1748.65</v>
      </c>
      <c r="H16" s="86">
        <v>1534.3</v>
      </c>
      <c r="I16" s="86">
        <v>1742.8</v>
      </c>
      <c r="J16" s="86">
        <v>1509.1</v>
      </c>
      <c r="K16" s="86">
        <v>1803.3</v>
      </c>
      <c r="L16" s="86">
        <v>1613.5</v>
      </c>
      <c r="M16" s="86">
        <v>1836.9</v>
      </c>
      <c r="N16" s="86">
        <v>1570.1</v>
      </c>
    </row>
    <row r="17" spans="2:14" x14ac:dyDescent="0.35">
      <c r="B17" s="50" t="s">
        <v>21</v>
      </c>
      <c r="G17" s="86">
        <v>322.92</v>
      </c>
      <c r="H17" s="86">
        <v>338.8</v>
      </c>
      <c r="I17" s="86">
        <v>335.2</v>
      </c>
      <c r="J17" s="86">
        <v>294.39999999999998</v>
      </c>
      <c r="K17" s="86">
        <v>337.8</v>
      </c>
      <c r="L17" s="86">
        <v>347.9</v>
      </c>
      <c r="M17" s="86">
        <v>351.8</v>
      </c>
      <c r="N17" s="86">
        <v>338.2</v>
      </c>
    </row>
    <row r="18" spans="2:14" x14ac:dyDescent="0.35">
      <c r="B18" s="50" t="s">
        <v>22</v>
      </c>
      <c r="G18" s="86">
        <v>235.89</v>
      </c>
      <c r="H18" s="86">
        <v>225.6</v>
      </c>
      <c r="I18" s="86">
        <v>226.7</v>
      </c>
      <c r="J18" s="86">
        <v>176.4</v>
      </c>
      <c r="K18" s="86">
        <v>202</v>
      </c>
      <c r="L18" s="86">
        <v>233.6</v>
      </c>
      <c r="M18" s="86">
        <v>238</v>
      </c>
      <c r="N18" s="86">
        <v>214.5</v>
      </c>
    </row>
    <row r="19" spans="2:14" x14ac:dyDescent="0.35">
      <c r="B19" s="50" t="s">
        <v>23</v>
      </c>
      <c r="G19" s="86">
        <v>386.62</v>
      </c>
      <c r="H19" s="86">
        <v>377.3</v>
      </c>
      <c r="I19" s="86">
        <v>368.6</v>
      </c>
      <c r="J19" s="86">
        <v>423.4</v>
      </c>
      <c r="K19" s="86">
        <v>393.8</v>
      </c>
      <c r="L19" s="86">
        <v>408.3</v>
      </c>
      <c r="M19" s="86">
        <v>397.8</v>
      </c>
      <c r="N19" s="86">
        <v>453.4</v>
      </c>
    </row>
    <row r="20" spans="2:14" x14ac:dyDescent="0.35">
      <c r="B20" s="87" t="s">
        <v>68</v>
      </c>
      <c r="G20" s="79">
        <f t="shared" ref="G20:N20" si="0">SUM(G16:G19)</f>
        <v>2694.08</v>
      </c>
      <c r="H20" s="79">
        <f t="shared" si="0"/>
        <v>2476</v>
      </c>
      <c r="I20" s="79">
        <f t="shared" si="0"/>
        <v>2673.2999999999997</v>
      </c>
      <c r="J20" s="79">
        <f t="shared" si="0"/>
        <v>2403.3000000000002</v>
      </c>
      <c r="K20" s="79">
        <f t="shared" si="0"/>
        <v>2736.9</v>
      </c>
      <c r="L20" s="79">
        <f t="shared" si="0"/>
        <v>2603.3000000000002</v>
      </c>
      <c r="M20" s="79">
        <f t="shared" si="0"/>
        <v>2824.5000000000005</v>
      </c>
      <c r="N20" s="79">
        <f t="shared" si="0"/>
        <v>2576.2000000000003</v>
      </c>
    </row>
    <row r="22" spans="2:14" x14ac:dyDescent="0.35">
      <c r="B22" s="3" t="s">
        <v>121</v>
      </c>
      <c r="C22" s="3"/>
      <c r="D22" s="3"/>
      <c r="E22" s="3"/>
      <c r="F22" s="3"/>
      <c r="G22" s="6"/>
      <c r="H22" s="6"/>
      <c r="I22" s="6"/>
      <c r="J22" s="6"/>
      <c r="K22" s="89">
        <v>-0.01</v>
      </c>
      <c r="L22" s="89">
        <v>0.02</v>
      </c>
      <c r="M22" s="89">
        <v>0.03</v>
      </c>
      <c r="N22" s="89">
        <v>0.06</v>
      </c>
    </row>
    <row r="24" spans="2:14" x14ac:dyDescent="0.35">
      <c r="B24" s="90" t="s">
        <v>122</v>
      </c>
    </row>
    <row r="26" spans="2:14" ht="15" customHeight="1" x14ac:dyDescent="0.35">
      <c r="B26" s="85" t="s">
        <v>75</v>
      </c>
      <c r="C26" s="82"/>
    </row>
    <row r="27" spans="2:14" x14ac:dyDescent="0.35">
      <c r="B27" s="3" t="s">
        <v>76</v>
      </c>
      <c r="C27" s="3"/>
      <c r="D27" s="3"/>
      <c r="E27" s="3"/>
      <c r="F27" s="3"/>
      <c r="G27" s="6">
        <f t="shared" ref="G27:N27" si="1">G4/C4-1</f>
        <v>6.9968051118210806E-2</v>
      </c>
      <c r="H27" s="6">
        <f t="shared" si="1"/>
        <v>-5.4619225967540541E-2</v>
      </c>
      <c r="I27" s="6">
        <f t="shared" si="1"/>
        <v>3.0721966205837115E-2</v>
      </c>
      <c r="J27" s="6">
        <f t="shared" si="1"/>
        <v>5.3285968028418118E-3</v>
      </c>
      <c r="K27" s="6">
        <f t="shared" si="1"/>
        <v>1.6721409375933138E-2</v>
      </c>
      <c r="L27" s="6">
        <f t="shared" si="1"/>
        <v>5.3482997689006329E-2</v>
      </c>
      <c r="M27" s="6">
        <f t="shared" si="1"/>
        <v>6.0804769001490344E-2</v>
      </c>
      <c r="N27" s="6">
        <f t="shared" si="1"/>
        <v>7.3498233215547604E-2</v>
      </c>
    </row>
    <row r="28" spans="2:14" x14ac:dyDescent="0.35">
      <c r="B28" s="3" t="s">
        <v>77</v>
      </c>
      <c r="C28" s="6">
        <f t="shared" ref="C28:N28" si="2">C5/C4</f>
        <v>0.80702875399361018</v>
      </c>
      <c r="D28" s="6">
        <f t="shared" si="2"/>
        <v>0.79369538077403246</v>
      </c>
      <c r="E28" s="6">
        <f t="shared" si="2"/>
        <v>0.795084485407066</v>
      </c>
      <c r="F28" s="6">
        <f t="shared" si="2"/>
        <v>0.83410301953818833</v>
      </c>
      <c r="G28" s="6">
        <f t="shared" si="2"/>
        <v>0.80441922962078227</v>
      </c>
      <c r="H28" s="6">
        <f t="shared" si="2"/>
        <v>0.81743149554308348</v>
      </c>
      <c r="I28" s="6">
        <f t="shared" si="2"/>
        <v>0.79672131147540981</v>
      </c>
      <c r="J28" s="6">
        <f t="shared" si="2"/>
        <v>0.84911660777385156</v>
      </c>
      <c r="K28" s="6">
        <f t="shared" si="2"/>
        <v>0.80381791483113074</v>
      </c>
      <c r="L28" s="6">
        <f t="shared" si="2"/>
        <v>0.81573174553431527</v>
      </c>
      <c r="M28" s="6">
        <f t="shared" si="2"/>
        <v>0.79376229277887045</v>
      </c>
      <c r="N28" s="6">
        <f t="shared" si="2"/>
        <v>0.84825543120474001</v>
      </c>
    </row>
    <row r="31" spans="2:14" ht="15.5" x14ac:dyDescent="0.35">
      <c r="B31" s="85" t="s">
        <v>78</v>
      </c>
    </row>
    <row r="32" spans="2:14" ht="43.5" x14ac:dyDescent="0.35">
      <c r="B32" s="81" t="s">
        <v>32</v>
      </c>
      <c r="C32" s="81" t="s">
        <v>79</v>
      </c>
      <c r="D32" s="81" t="s">
        <v>80</v>
      </c>
      <c r="E32" s="81" t="s">
        <v>81</v>
      </c>
    </row>
    <row r="33" spans="2:7" x14ac:dyDescent="0.35">
      <c r="B33" s="3" t="s">
        <v>6</v>
      </c>
      <c r="C33" s="83">
        <f>SUM(C4:F4)</f>
        <v>12404</v>
      </c>
      <c r="D33" s="84">
        <f>SUM(G4:J4)</f>
        <v>12563</v>
      </c>
      <c r="E33" s="84">
        <f>SUM(K4:N4)</f>
        <v>13193</v>
      </c>
    </row>
    <row r="34" spans="2:7" x14ac:dyDescent="0.35">
      <c r="B34" s="3" t="s">
        <v>82</v>
      </c>
      <c r="C34" s="3"/>
      <c r="D34" s="116">
        <f>D33/C33-1</f>
        <v>1.2818445662689415E-2</v>
      </c>
      <c r="E34" s="116">
        <f>E33/D33-1</f>
        <v>5.0147257820584157E-2</v>
      </c>
    </row>
    <row r="41" spans="2:7" ht="15" customHeight="1" x14ac:dyDescent="0.35"/>
    <row r="42" spans="2:7" ht="43.5" customHeight="1" x14ac:dyDescent="0.35">
      <c r="G42" s="47"/>
    </row>
  </sheetData>
  <pageMargins left="0.75" right="0.75" top="1" bottom="1" header="0.511811023622047" footer="0.511811023622047"/>
  <pageSetup paperSize="9" orientation="portrait" horizontalDpi="300" verticalDpi="300" r:id="rId1"/>
  <ignoredErrors>
    <ignoredError sqref="C33:E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Budget</vt:lpstr>
      <vt:lpstr>Actuals</vt:lpstr>
      <vt:lpstr>Budget vs Actuals</vt:lpstr>
      <vt:lpstr>Variance Drivers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Risha K</cp:lastModifiedBy>
  <cp:revision>2</cp:revision>
  <cp:lastPrinted>2026-10-17T18:09:01Z</cp:lastPrinted>
  <dcterms:created xsi:type="dcterms:W3CDTF">2026-10-05T09:00:20Z</dcterms:created>
  <dcterms:modified xsi:type="dcterms:W3CDTF">2026-10-18T16:57:40Z</dcterms:modified>
  <dc:language>en-US</dc:language>
</cp:coreProperties>
</file>